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 Transactions" sheetId="1" state="visible" r:id="rId3"/>
    <sheet name="Inventory" sheetId="2" state="visible" r:id="rId4"/>
    <sheet name="Customer Behavior" sheetId="3" state="visible" r:id="rId5"/>
    <sheet name="Product Demand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<sst xmlns="http://schemas.openxmlformats.org/spreadsheetml/2006/main" count="709" uniqueCount="253">
  <si>
    <t xml:space="preserve">Transaction ID</t>
  </si>
  <si>
    <t xml:space="preserve">Date</t>
  </si>
  <si>
    <t xml:space="preserve">Product Name</t>
  </si>
  <si>
    <t xml:space="preserve">Category</t>
  </si>
  <si>
    <t xml:space="preserve">Qty Sold</t>
  </si>
  <si>
    <t xml:space="preserve">Unit Price (₹)</t>
  </si>
  <si>
    <t xml:space="preserve">Total Sales (₹)</t>
  </si>
  <si>
    <t xml:space="preserve">Discount (%)</t>
  </si>
  <si>
    <t xml:space="preserve">Net Revenue (₹)</t>
  </si>
  <si>
    <t xml:space="preserve">Payment Mode</t>
  </si>
  <si>
    <t xml:space="preserve">Store Location</t>
  </si>
  <si>
    <t xml:space="preserve">Customer Type</t>
  </si>
  <si>
    <t xml:space="preserve">T001</t>
  </si>
  <si>
    <t xml:space="preserve">2024-01-03</t>
  </si>
  <si>
    <t xml:space="preserve">Levi's Jeans</t>
  </si>
  <si>
    <t xml:space="preserve">Apparel</t>
  </si>
  <si>
    <t xml:space="preserve">Card</t>
  </si>
  <si>
    <t xml:space="preserve">Mumbai</t>
  </si>
  <si>
    <t xml:space="preserve">Regular</t>
  </si>
  <si>
    <t xml:space="preserve">T002</t>
  </si>
  <si>
    <t xml:space="preserve">2024-01-05</t>
  </si>
  <si>
    <t xml:space="preserve">Nike Sneakers</t>
  </si>
  <si>
    <t xml:space="preserve">Footwear</t>
  </si>
  <si>
    <t xml:space="preserve">UPI</t>
  </si>
  <si>
    <t xml:space="preserve">Pune</t>
  </si>
  <si>
    <t xml:space="preserve">New</t>
  </si>
  <si>
    <t xml:space="preserve">T003</t>
  </si>
  <si>
    <t xml:space="preserve">2024-01-07</t>
  </si>
  <si>
    <t xml:space="preserve">Samsung TV 43"</t>
  </si>
  <si>
    <t xml:space="preserve">Electronics</t>
  </si>
  <si>
    <t xml:space="preserve">Nagpur</t>
  </si>
  <si>
    <t xml:space="preserve">T004</t>
  </si>
  <si>
    <t xml:space="preserve">2024-01-09</t>
  </si>
  <si>
    <t xml:space="preserve">Basmati Rice 5kg</t>
  </si>
  <si>
    <t xml:space="preserve">Grocery</t>
  </si>
  <si>
    <t xml:space="preserve">Cash</t>
  </si>
  <si>
    <t xml:space="preserve">Loyal</t>
  </si>
  <si>
    <t xml:space="preserve">T005</t>
  </si>
  <si>
    <t xml:space="preserve">2024-01-11</t>
  </si>
  <si>
    <t xml:space="preserve">Dove Shampoo</t>
  </si>
  <si>
    <t xml:space="preserve">Personal Care</t>
  </si>
  <si>
    <t xml:space="preserve">Nashik</t>
  </si>
  <si>
    <t xml:space="preserve">T006</t>
  </si>
  <si>
    <t xml:space="preserve">2024-01-14</t>
  </si>
  <si>
    <t xml:space="preserve">Titan Watch</t>
  </si>
  <si>
    <t xml:space="preserve">Accessories</t>
  </si>
  <si>
    <t xml:space="preserve">T007</t>
  </si>
  <si>
    <t xml:space="preserve">2024-01-16</t>
  </si>
  <si>
    <t xml:space="preserve">Prestige Cooker 5L</t>
  </si>
  <si>
    <t xml:space="preserve">Kitchen</t>
  </si>
  <si>
    <t xml:space="preserve">T008</t>
  </si>
  <si>
    <t xml:space="preserve">2024-01-18</t>
  </si>
  <si>
    <t xml:space="preserve">Adidas T-Shirt</t>
  </si>
  <si>
    <t xml:space="preserve">T009</t>
  </si>
  <si>
    <t xml:space="preserve">2024-01-21</t>
  </si>
  <si>
    <t xml:space="preserve">boAt Earbuds</t>
  </si>
  <si>
    <t xml:space="preserve">T010</t>
  </si>
  <si>
    <t xml:space="preserve">2024-01-23</t>
  </si>
  <si>
    <t xml:space="preserve">Colgate Toothpaste</t>
  </si>
  <si>
    <t xml:space="preserve">T011</t>
  </si>
  <si>
    <t xml:space="preserve">2024-01-25</t>
  </si>
  <si>
    <t xml:space="preserve">Woodland Shoes</t>
  </si>
  <si>
    <t xml:space="preserve">T012</t>
  </si>
  <si>
    <t xml:space="preserve">2024-01-28</t>
  </si>
  <si>
    <t xml:space="preserve">Tata Salt 1kg</t>
  </si>
  <si>
    <t xml:space="preserve">T013</t>
  </si>
  <si>
    <t xml:space="preserve">2024-02-02</t>
  </si>
  <si>
    <t xml:space="preserve">HP Laptop</t>
  </si>
  <si>
    <t xml:space="preserve">T014</t>
  </si>
  <si>
    <t xml:space="preserve">2024-02-05</t>
  </si>
  <si>
    <t xml:space="preserve">Peter England Shirt</t>
  </si>
  <si>
    <t xml:space="preserve">T015</t>
  </si>
  <si>
    <t xml:space="preserve">2024-02-07</t>
  </si>
  <si>
    <t xml:space="preserve">Nescafe Coffee 200g</t>
  </si>
  <si>
    <t xml:space="preserve">T016</t>
  </si>
  <si>
    <t xml:space="preserve">2024-02-10</t>
  </si>
  <si>
    <t xml:space="preserve">Philips Iron</t>
  </si>
  <si>
    <t xml:space="preserve">T017</t>
  </si>
  <si>
    <t xml:space="preserve">2024-02-13</t>
  </si>
  <si>
    <t xml:space="preserve">Puma Cap</t>
  </si>
  <si>
    <t xml:space="preserve">T018</t>
  </si>
  <si>
    <t xml:space="preserve">2024-02-16</t>
  </si>
  <si>
    <t xml:space="preserve">Sunflower Oil 1L</t>
  </si>
  <si>
    <t xml:space="preserve">T019</t>
  </si>
  <si>
    <t xml:space="preserve">2024-02-19</t>
  </si>
  <si>
    <t xml:space="preserve">OnePlus Earphones</t>
  </si>
  <si>
    <t xml:space="preserve">T020</t>
  </si>
  <si>
    <t xml:space="preserve">2024-02-22</t>
  </si>
  <si>
    <t xml:space="preserve">Allen Solly Trouser</t>
  </si>
  <si>
    <t xml:space="preserve">T021</t>
  </si>
  <si>
    <t xml:space="preserve">2024-02-25</t>
  </si>
  <si>
    <t xml:space="preserve">Bata Sandals</t>
  </si>
  <si>
    <t xml:space="preserve">T022</t>
  </si>
  <si>
    <t xml:space="preserve">2024-02-27</t>
  </si>
  <si>
    <t xml:space="preserve">Maggi Noodles 12pk</t>
  </si>
  <si>
    <t xml:space="preserve">T023</t>
  </si>
  <si>
    <t xml:space="preserve">2024-03-02</t>
  </si>
  <si>
    <t xml:space="preserve">LG Refrigerator</t>
  </si>
  <si>
    <t xml:space="preserve">T024</t>
  </si>
  <si>
    <t xml:space="preserve">2024-03-05</t>
  </si>
  <si>
    <t xml:space="preserve">Himalaya FaceWash</t>
  </si>
  <si>
    <t xml:space="preserve">T025</t>
  </si>
  <si>
    <t xml:space="preserve">2024-03-08</t>
  </si>
  <si>
    <t xml:space="preserve">Reebok Joggers</t>
  </si>
  <si>
    <t xml:space="preserve">T026</t>
  </si>
  <si>
    <t xml:space="preserve">2024-03-11</t>
  </si>
  <si>
    <t xml:space="preserve">Milton Water Bottle</t>
  </si>
  <si>
    <t xml:space="preserve">T027</t>
  </si>
  <si>
    <t xml:space="preserve">2024-03-14</t>
  </si>
  <si>
    <t xml:space="preserve">Fastrack Watch</t>
  </si>
  <si>
    <t xml:space="preserve">T028</t>
  </si>
  <si>
    <t xml:space="preserve">2024-03-17</t>
  </si>
  <si>
    <t xml:space="preserve">Ariel Detergent 2kg</t>
  </si>
  <si>
    <t xml:space="preserve">T029</t>
  </si>
  <si>
    <t xml:space="preserve">2024-03-20</t>
  </si>
  <si>
    <t xml:space="preserve">Sony Headphones</t>
  </si>
  <si>
    <t xml:space="preserve">T030</t>
  </si>
  <si>
    <t xml:space="preserve">2024-03-23</t>
  </si>
  <si>
    <t xml:space="preserve">Biscuits Parle-G</t>
  </si>
  <si>
    <t xml:space="preserve">TOTAL / AVG</t>
  </si>
  <si>
    <t xml:space="preserve">Product ID</t>
  </si>
  <si>
    <t xml:space="preserve">Opening Stock</t>
  </si>
  <si>
    <t xml:space="preserve">Stock Received</t>
  </si>
  <si>
    <t xml:space="preserve">Closing Stock</t>
  </si>
  <si>
    <t xml:space="preserve">Reorder Level</t>
  </si>
  <si>
    <t xml:space="preserve">Stock Status</t>
  </si>
  <si>
    <t xml:space="preserve">Unit Cost (₹)</t>
  </si>
  <si>
    <t xml:space="preserve">Stock Value (₹)</t>
  </si>
  <si>
    <t xml:space="preserve">P001</t>
  </si>
  <si>
    <t xml:space="preserve">OK</t>
  </si>
  <si>
    <t xml:space="preserve">P002</t>
  </si>
  <si>
    <t xml:space="preserve">P003</t>
  </si>
  <si>
    <t xml:space="preserve">P004</t>
  </si>
  <si>
    <t xml:space="preserve">P005</t>
  </si>
  <si>
    <t xml:space="preserve">P006</t>
  </si>
  <si>
    <t xml:space="preserve">P007</t>
  </si>
  <si>
    <t xml:space="preserve">P008</t>
  </si>
  <si>
    <t xml:space="preserve">P009</t>
  </si>
  <si>
    <t xml:space="preserve">P010</t>
  </si>
  <si>
    <t xml:space="preserve">P011</t>
  </si>
  <si>
    <t xml:space="preserve">P012</t>
  </si>
  <si>
    <t xml:space="preserve">P013</t>
  </si>
  <si>
    <t xml:space="preserve">P014</t>
  </si>
  <si>
    <t xml:space="preserve">P015</t>
  </si>
  <si>
    <t xml:space="preserve">P016</t>
  </si>
  <si>
    <t xml:space="preserve">P017</t>
  </si>
  <si>
    <t xml:space="preserve">P018</t>
  </si>
  <si>
    <t xml:space="preserve">P019</t>
  </si>
  <si>
    <t xml:space="preserve">P020</t>
  </si>
  <si>
    <t xml:space="preserve">P021</t>
  </si>
  <si>
    <t xml:space="preserve">P022</t>
  </si>
  <si>
    <t xml:space="preserve">P023</t>
  </si>
  <si>
    <t xml:space="preserve">P024</t>
  </si>
  <si>
    <t xml:space="preserve">P025</t>
  </si>
  <si>
    <t xml:space="preserve">P026</t>
  </si>
  <si>
    <t xml:space="preserve">P027</t>
  </si>
  <si>
    <t xml:space="preserve">P028</t>
  </si>
  <si>
    <t xml:space="preserve">P029</t>
  </si>
  <si>
    <t xml:space="preserve">P030</t>
  </si>
  <si>
    <t xml:space="preserve">Customer ID</t>
  </si>
  <si>
    <t xml:space="preserve">Visit Date</t>
  </si>
  <si>
    <t xml:space="preserve">Age Group</t>
  </si>
  <si>
    <t xml:space="preserve">Gender</t>
  </si>
  <si>
    <t xml:space="preserve">City</t>
  </si>
  <si>
    <t xml:space="preserve">Visit Purpose</t>
  </si>
  <si>
    <t xml:space="preserve">Items Browsed</t>
  </si>
  <si>
    <t xml:space="preserve">Items Purchased</t>
  </si>
  <si>
    <t xml:space="preserve">Total Spend (₹)</t>
  </si>
  <si>
    <t xml:space="preserve">Time Spent (mins)</t>
  </si>
  <si>
    <t xml:space="preserve">Satisfaction (1-5)</t>
  </si>
  <si>
    <t xml:space="preserve">CU001</t>
  </si>
  <si>
    <t xml:space="preserve">2024-01-04</t>
  </si>
  <si>
    <t xml:space="preserve">25-34</t>
  </si>
  <si>
    <t xml:space="preserve">Female</t>
  </si>
  <si>
    <t xml:space="preserve">Shopping</t>
  </si>
  <si>
    <t xml:space="preserve">CU002</t>
  </si>
  <si>
    <t xml:space="preserve">2024-01-06</t>
  </si>
  <si>
    <t xml:space="preserve">35-44</t>
  </si>
  <si>
    <t xml:space="preserve">Male</t>
  </si>
  <si>
    <t xml:space="preserve">CU003</t>
  </si>
  <si>
    <t xml:space="preserve">2024-01-08</t>
  </si>
  <si>
    <t xml:space="preserve">18-24</t>
  </si>
  <si>
    <t xml:space="preserve">Browsing</t>
  </si>
  <si>
    <t xml:space="preserve">CU004</t>
  </si>
  <si>
    <t xml:space="preserve">2024-01-10</t>
  </si>
  <si>
    <t xml:space="preserve">45-54</t>
  </si>
  <si>
    <t xml:space="preserve">CU005</t>
  </si>
  <si>
    <t xml:space="preserve">2024-01-12</t>
  </si>
  <si>
    <t xml:space="preserve">CU006</t>
  </si>
  <si>
    <t xml:space="preserve">2024-01-15</t>
  </si>
  <si>
    <t xml:space="preserve">55+</t>
  </si>
  <si>
    <t xml:space="preserve">Return/Exch</t>
  </si>
  <si>
    <t xml:space="preserve">CU007</t>
  </si>
  <si>
    <t xml:space="preserve">2024-01-17</t>
  </si>
  <si>
    <t xml:space="preserve">CU008</t>
  </si>
  <si>
    <t xml:space="preserve">2024-01-19</t>
  </si>
  <si>
    <t xml:space="preserve">CU009</t>
  </si>
  <si>
    <t xml:space="preserve">2024-01-22</t>
  </si>
  <si>
    <t xml:space="preserve">CU010</t>
  </si>
  <si>
    <t xml:space="preserve">2024-01-24</t>
  </si>
  <si>
    <t xml:space="preserve">CU011</t>
  </si>
  <si>
    <t xml:space="preserve">2024-01-26</t>
  </si>
  <si>
    <t xml:space="preserve">CU012</t>
  </si>
  <si>
    <t xml:space="preserve">2024-01-29</t>
  </si>
  <si>
    <t xml:space="preserve">CU013</t>
  </si>
  <si>
    <t xml:space="preserve">2024-02-03</t>
  </si>
  <si>
    <t xml:space="preserve">CU014</t>
  </si>
  <si>
    <t xml:space="preserve">2024-02-06</t>
  </si>
  <si>
    <t xml:space="preserve">CU015</t>
  </si>
  <si>
    <t xml:space="preserve">2024-02-08</t>
  </si>
  <si>
    <t xml:space="preserve">CU016</t>
  </si>
  <si>
    <t xml:space="preserve">2024-02-11</t>
  </si>
  <si>
    <t xml:space="preserve">CU017</t>
  </si>
  <si>
    <t xml:space="preserve">2024-02-14</t>
  </si>
  <si>
    <t xml:space="preserve">CU018</t>
  </si>
  <si>
    <t xml:space="preserve">2024-02-17</t>
  </si>
  <si>
    <t xml:space="preserve">CU019</t>
  </si>
  <si>
    <t xml:space="preserve">2024-02-20</t>
  </si>
  <si>
    <t xml:space="preserve">CU020</t>
  </si>
  <si>
    <t xml:space="preserve">2024-02-23</t>
  </si>
  <si>
    <t xml:space="preserve">CU021</t>
  </si>
  <si>
    <t xml:space="preserve">2024-02-26</t>
  </si>
  <si>
    <t xml:space="preserve">CU022</t>
  </si>
  <si>
    <t xml:space="preserve">2024-02-28</t>
  </si>
  <si>
    <t xml:space="preserve">CU023</t>
  </si>
  <si>
    <t xml:space="preserve">2024-03-03</t>
  </si>
  <si>
    <t xml:space="preserve">CU024</t>
  </si>
  <si>
    <t xml:space="preserve">2024-03-06</t>
  </si>
  <si>
    <t xml:space="preserve">CU025</t>
  </si>
  <si>
    <t xml:space="preserve">2024-03-09</t>
  </si>
  <si>
    <t xml:space="preserve">CU026</t>
  </si>
  <si>
    <t xml:space="preserve">2024-03-12</t>
  </si>
  <si>
    <t xml:space="preserve">CU027</t>
  </si>
  <si>
    <t xml:space="preserve">2024-03-15</t>
  </si>
  <si>
    <t xml:space="preserve">CU028</t>
  </si>
  <si>
    <t xml:space="preserve">2024-03-18</t>
  </si>
  <si>
    <t xml:space="preserve">CU029</t>
  </si>
  <si>
    <t xml:space="preserve">2024-03-21</t>
  </si>
  <si>
    <t xml:space="preserve">CU030</t>
  </si>
  <si>
    <t xml:space="preserve">2024-03-24</t>
  </si>
  <si>
    <t xml:space="preserve">Jan Sales (₹)</t>
  </si>
  <si>
    <t xml:space="preserve">Feb Sales (₹)</t>
  </si>
  <si>
    <t xml:space="preserve">Mar Sales (₹)</t>
  </si>
  <si>
    <t xml:space="preserve">Best Month</t>
  </si>
  <si>
    <t xml:space="preserve">Avg Monthly Sales (₹)</t>
  </si>
  <si>
    <t xml:space="preserve">Demand Trend</t>
  </si>
  <si>
    <t xml:space="preserve">Return Rate (%)</t>
  </si>
  <si>
    <t xml:space="preserve">Jan</t>
  </si>
  <si>
    <t xml:space="preserve">Growing</t>
  </si>
  <si>
    <t xml:space="preserve">Stable</t>
  </si>
  <si>
    <t xml:space="preserve">Declining</t>
  </si>
  <si>
    <t xml:space="preserve">Mar</t>
  </si>
  <si>
    <t xml:space="preserve">Feb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</si>
</sst>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B3A6B"/>
        <bgColor rgb="FF333399"/>
      </patternFill>
    </fill>
    <fill>
      <patternFill patternType="solid">
        <fgColor rgb="FFEEF3FB"/>
        <bgColor rgb="FFFFFFFF"/>
      </patternFill>
    </fill>
    <fill>
      <patternFill patternType="solid">
        <fgColor rgb="FFCFE2F3"/>
        <bgColor rgb="FFEEF3FB"/>
      </patternFill>
    </fill>
    <fill>
      <patternFill patternType="solid">
        <fgColor rgb="FF1A4A2E"/>
        <bgColor rgb="FF1B3A6B"/>
      </patternFill>
    </fill>
    <fill>
      <patternFill patternType="solid">
        <fgColor rgb="FF4A235C"/>
        <bgColor rgb="FF333399"/>
      </patternFill>
    </fill>
    <fill>
      <patternFill patternType="solid">
        <fgColor rgb="FF7B3F00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0C8D8"/>
      </left>
      <right style="thin">
        <color rgb="FFC0C8D8"/>
      </right>
      <top style="thin">
        <color rgb="FFC0C8D8"/>
      </top>
      <bottom style="thin">
        <color rgb="FFC0C8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8D8"/>
      <rgbColor rgb="FF808080"/>
      <rgbColor rgb="FF9999FF"/>
      <rgbColor rgb="FF993366"/>
      <rgbColor rgb="FFEEF3FB"/>
      <rgbColor rgb="FFCCFFFF"/>
      <rgbColor rgb="FF660066"/>
      <rgbColor rgb="FFFF8080"/>
      <rgbColor rgb="FF0066CC"/>
      <rgbColor rgb="FFCF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B3A6B"/>
      <rgbColor rgb="FF339966"/>
      <rgbColor rgb="FF003300"/>
      <rgbColor rgb="FF1A4A2E"/>
      <rgbColor rgb="FF7B3F00"/>
      <rgbColor rgb="FF993366"/>
      <rgbColor rgb="FF333399"/>
      <rgbColor rgb="FF4A235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22"/>
    <col collapsed="false" customWidth="true" hidden="false" outlineLevel="0" max="4" min="4" style="0" width="15"/>
    <col collapsed="false" customWidth="true" hidden="false" outlineLevel="0" max="5" min="5" style="0" width="10"/>
    <col collapsed="false" customWidth="true" hidden="false" outlineLevel="0" max="7" min="6" style="0" width="15"/>
    <col collapsed="false" customWidth="true" hidden="false" outlineLevel="0" max="8" min="8" style="0" width="13"/>
    <col collapsed="false" customWidth="true" hidden="false" outlineLevel="0" max="9" min="9" style="0" width="15"/>
    <col collapsed="false" customWidth="true" hidden="false" outlineLevel="0" max="10" min="10" style="0" width="14"/>
    <col collapsed="false" customWidth="true" hidden="false" outlineLevel="0" max="11" min="11" style="0" width="15"/>
    <col collapsed="false" customWidth="true" hidden="false" outlineLevel="0" max="12" min="12" style="0" width="13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2" t="s">
        <v>12</v>
      </c>
      <c r="B2" s="2" t="s">
        <v>13</v>
      </c>
      <c r="C2" s="3" t="s">
        <v>14</v>
      </c>
      <c r="D2" s="3" t="s">
        <v>15</v>
      </c>
      <c r="E2" s="2" t="n">
        <v>3</v>
      </c>
      <c r="F2" s="2" t="n">
        <v>2499</v>
      </c>
      <c r="G2" s="2" t="n">
        <v>7497</v>
      </c>
      <c r="H2" s="2" t="n">
        <v>10</v>
      </c>
      <c r="I2" s="2" t="n">
        <v>6747</v>
      </c>
      <c r="J2" s="2" t="s">
        <v>16</v>
      </c>
      <c r="K2" s="2" t="s">
        <v>17</v>
      </c>
      <c r="L2" s="2" t="s">
        <v>18</v>
      </c>
    </row>
    <row r="3" customFormat="false" ht="15" hidden="false" customHeight="false" outlineLevel="0" collapsed="false">
      <c r="A3" s="4" t="s">
        <v>19</v>
      </c>
      <c r="B3" s="4" t="s">
        <v>20</v>
      </c>
      <c r="C3" s="5" t="s">
        <v>21</v>
      </c>
      <c r="D3" s="5" t="s">
        <v>22</v>
      </c>
      <c r="E3" s="4" t="n">
        <v>2</v>
      </c>
      <c r="F3" s="4" t="n">
        <v>3999</v>
      </c>
      <c r="G3" s="4" t="n">
        <v>7998</v>
      </c>
      <c r="H3" s="4" t="n">
        <v>5</v>
      </c>
      <c r="I3" s="4" t="n">
        <v>7598</v>
      </c>
      <c r="J3" s="4" t="s">
        <v>23</v>
      </c>
      <c r="K3" s="4" t="s">
        <v>24</v>
      </c>
      <c r="L3" s="4" t="s">
        <v>25</v>
      </c>
    </row>
    <row r="4" customFormat="false" ht="15" hidden="false" customHeight="false" outlineLevel="0" collapsed="false">
      <c r="A4" s="2" t="s">
        <v>26</v>
      </c>
      <c r="B4" s="2" t="s">
        <v>27</v>
      </c>
      <c r="C4" s="3" t="s">
        <v>28</v>
      </c>
      <c r="D4" s="3" t="s">
        <v>29</v>
      </c>
      <c r="E4" s="2" t="n">
        <v>1</v>
      </c>
      <c r="F4" s="2" t="n">
        <v>32999</v>
      </c>
      <c r="G4" s="2" t="n">
        <v>32999</v>
      </c>
      <c r="H4" s="2" t="n">
        <v>8</v>
      </c>
      <c r="I4" s="2" t="n">
        <v>30359</v>
      </c>
      <c r="J4" s="2" t="s">
        <v>16</v>
      </c>
      <c r="K4" s="2" t="s">
        <v>30</v>
      </c>
      <c r="L4" s="2" t="s">
        <v>18</v>
      </c>
    </row>
    <row r="5" customFormat="false" ht="15" hidden="false" customHeight="false" outlineLevel="0" collapsed="false">
      <c r="A5" s="4" t="s">
        <v>31</v>
      </c>
      <c r="B5" s="4" t="s">
        <v>32</v>
      </c>
      <c r="C5" s="5" t="s">
        <v>33</v>
      </c>
      <c r="D5" s="5" t="s">
        <v>34</v>
      </c>
      <c r="E5" s="4" t="n">
        <v>10</v>
      </c>
      <c r="F5" s="4" t="n">
        <v>499</v>
      </c>
      <c r="G5" s="4" t="n">
        <v>4990</v>
      </c>
      <c r="H5" s="4" t="n">
        <v>0</v>
      </c>
      <c r="I5" s="4" t="n">
        <v>4990</v>
      </c>
      <c r="J5" s="4" t="s">
        <v>35</v>
      </c>
      <c r="K5" s="4" t="s">
        <v>17</v>
      </c>
      <c r="L5" s="4" t="s">
        <v>36</v>
      </c>
    </row>
    <row r="6" customFormat="false" ht="15" hidden="false" customHeight="false" outlineLevel="0" collapsed="false">
      <c r="A6" s="2" t="s">
        <v>37</v>
      </c>
      <c r="B6" s="2" t="s">
        <v>38</v>
      </c>
      <c r="C6" s="3" t="s">
        <v>39</v>
      </c>
      <c r="D6" s="3" t="s">
        <v>40</v>
      </c>
      <c r="E6" s="2" t="n">
        <v>8</v>
      </c>
      <c r="F6" s="2" t="n">
        <v>299</v>
      </c>
      <c r="G6" s="2" t="n">
        <v>2392</v>
      </c>
      <c r="H6" s="2" t="n">
        <v>5</v>
      </c>
      <c r="I6" s="2" t="n">
        <v>2272</v>
      </c>
      <c r="J6" s="2" t="s">
        <v>23</v>
      </c>
      <c r="K6" s="2" t="s">
        <v>41</v>
      </c>
      <c r="L6" s="2" t="s">
        <v>25</v>
      </c>
    </row>
    <row r="7" customFormat="false" ht="15" hidden="false" customHeight="false" outlineLevel="0" collapsed="false">
      <c r="A7" s="4" t="s">
        <v>42</v>
      </c>
      <c r="B7" s="4" t="s">
        <v>43</v>
      </c>
      <c r="C7" s="5" t="s">
        <v>44</v>
      </c>
      <c r="D7" s="5" t="s">
        <v>45</v>
      </c>
      <c r="E7" s="4" t="n">
        <v>1</v>
      </c>
      <c r="F7" s="4" t="n">
        <v>4999</v>
      </c>
      <c r="G7" s="4" t="n">
        <v>4999</v>
      </c>
      <c r="H7" s="4" t="n">
        <v>12</v>
      </c>
      <c r="I7" s="4" t="n">
        <v>4399</v>
      </c>
      <c r="J7" s="4" t="s">
        <v>16</v>
      </c>
      <c r="K7" s="4" t="s">
        <v>24</v>
      </c>
      <c r="L7" s="4" t="s">
        <v>36</v>
      </c>
    </row>
    <row r="8" customFormat="false" ht="15" hidden="false" customHeight="false" outlineLevel="0" collapsed="false">
      <c r="A8" s="2" t="s">
        <v>46</v>
      </c>
      <c r="B8" s="2" t="s">
        <v>47</v>
      </c>
      <c r="C8" s="3" t="s">
        <v>48</v>
      </c>
      <c r="D8" s="3" t="s">
        <v>49</v>
      </c>
      <c r="E8" s="2" t="n">
        <v>2</v>
      </c>
      <c r="F8" s="2" t="n">
        <v>1899</v>
      </c>
      <c r="G8" s="2" t="n">
        <v>3798</v>
      </c>
      <c r="H8" s="2" t="n">
        <v>0</v>
      </c>
      <c r="I8" s="2" t="n">
        <v>3798</v>
      </c>
      <c r="J8" s="2" t="s">
        <v>35</v>
      </c>
      <c r="K8" s="2" t="s">
        <v>17</v>
      </c>
      <c r="L8" s="2" t="s">
        <v>18</v>
      </c>
    </row>
    <row r="9" customFormat="false" ht="15" hidden="false" customHeight="false" outlineLevel="0" collapsed="false">
      <c r="A9" s="4" t="s">
        <v>50</v>
      </c>
      <c r="B9" s="4" t="s">
        <v>51</v>
      </c>
      <c r="C9" s="5" t="s">
        <v>52</v>
      </c>
      <c r="D9" s="5" t="s">
        <v>15</v>
      </c>
      <c r="E9" s="4" t="n">
        <v>5</v>
      </c>
      <c r="F9" s="4" t="n">
        <v>999</v>
      </c>
      <c r="G9" s="4" t="n">
        <v>4995</v>
      </c>
      <c r="H9" s="4" t="n">
        <v>10</v>
      </c>
      <c r="I9" s="4" t="n">
        <v>4496</v>
      </c>
      <c r="J9" s="4" t="s">
        <v>23</v>
      </c>
      <c r="K9" s="4" t="s">
        <v>30</v>
      </c>
      <c r="L9" s="4" t="s">
        <v>25</v>
      </c>
    </row>
    <row r="10" customFormat="false" ht="15" hidden="false" customHeight="false" outlineLevel="0" collapsed="false">
      <c r="A10" s="2" t="s">
        <v>53</v>
      </c>
      <c r="B10" s="2" t="s">
        <v>54</v>
      </c>
      <c r="C10" s="3" t="s">
        <v>55</v>
      </c>
      <c r="D10" s="3" t="s">
        <v>29</v>
      </c>
      <c r="E10" s="2" t="n">
        <v>3</v>
      </c>
      <c r="F10" s="2" t="n">
        <v>1499</v>
      </c>
      <c r="G10" s="2" t="n">
        <v>4497</v>
      </c>
      <c r="H10" s="2" t="n">
        <v>5</v>
      </c>
      <c r="I10" s="2" t="n">
        <v>4272</v>
      </c>
      <c r="J10" s="2" t="s">
        <v>16</v>
      </c>
      <c r="K10" s="2" t="s">
        <v>17</v>
      </c>
      <c r="L10" s="2" t="s">
        <v>18</v>
      </c>
    </row>
    <row r="11" customFormat="false" ht="15" hidden="false" customHeight="false" outlineLevel="0" collapsed="false">
      <c r="A11" s="4" t="s">
        <v>56</v>
      </c>
      <c r="B11" s="4" t="s">
        <v>57</v>
      </c>
      <c r="C11" s="5" t="s">
        <v>58</v>
      </c>
      <c r="D11" s="5" t="s">
        <v>40</v>
      </c>
      <c r="E11" s="4" t="n">
        <v>12</v>
      </c>
      <c r="F11" s="4" t="n">
        <v>99</v>
      </c>
      <c r="G11" s="4" t="n">
        <v>1188</v>
      </c>
      <c r="H11" s="4" t="n">
        <v>0</v>
      </c>
      <c r="I11" s="4" t="n">
        <v>1188</v>
      </c>
      <c r="J11" s="4" t="s">
        <v>35</v>
      </c>
      <c r="K11" s="4" t="s">
        <v>41</v>
      </c>
      <c r="L11" s="4" t="s">
        <v>36</v>
      </c>
    </row>
    <row r="12" customFormat="false" ht="15" hidden="false" customHeight="false" outlineLevel="0" collapsed="false">
      <c r="A12" s="2" t="s">
        <v>59</v>
      </c>
      <c r="B12" s="2" t="s">
        <v>60</v>
      </c>
      <c r="C12" s="3" t="s">
        <v>61</v>
      </c>
      <c r="D12" s="3" t="s">
        <v>22</v>
      </c>
      <c r="E12" s="2" t="n">
        <v>2</v>
      </c>
      <c r="F12" s="2" t="n">
        <v>2799</v>
      </c>
      <c r="G12" s="2" t="n">
        <v>5598</v>
      </c>
      <c r="H12" s="2" t="n">
        <v>8</v>
      </c>
      <c r="I12" s="2" t="n">
        <v>5150</v>
      </c>
      <c r="J12" s="2" t="s">
        <v>16</v>
      </c>
      <c r="K12" s="2" t="s">
        <v>24</v>
      </c>
      <c r="L12" s="2" t="s">
        <v>18</v>
      </c>
    </row>
    <row r="13" customFormat="false" ht="15" hidden="false" customHeight="false" outlineLevel="0" collapsed="false">
      <c r="A13" s="4" t="s">
        <v>62</v>
      </c>
      <c r="B13" s="4" t="s">
        <v>63</v>
      </c>
      <c r="C13" s="5" t="s">
        <v>64</v>
      </c>
      <c r="D13" s="5" t="s">
        <v>34</v>
      </c>
      <c r="E13" s="4" t="n">
        <v>20</v>
      </c>
      <c r="F13" s="4" t="n">
        <v>24</v>
      </c>
      <c r="G13" s="4" t="n">
        <v>480</v>
      </c>
      <c r="H13" s="4" t="n">
        <v>0</v>
      </c>
      <c r="I13" s="4" t="n">
        <v>480</v>
      </c>
      <c r="J13" s="4" t="s">
        <v>35</v>
      </c>
      <c r="K13" s="4" t="s">
        <v>17</v>
      </c>
      <c r="L13" s="4" t="s">
        <v>25</v>
      </c>
    </row>
    <row r="14" customFormat="false" ht="15" hidden="false" customHeight="false" outlineLevel="0" collapsed="false">
      <c r="A14" s="2" t="s">
        <v>65</v>
      </c>
      <c r="B14" s="2" t="s">
        <v>66</v>
      </c>
      <c r="C14" s="3" t="s">
        <v>67</v>
      </c>
      <c r="D14" s="3" t="s">
        <v>29</v>
      </c>
      <c r="E14" s="2" t="n">
        <v>1</v>
      </c>
      <c r="F14" s="2" t="n">
        <v>52999</v>
      </c>
      <c r="G14" s="2" t="n">
        <v>52999</v>
      </c>
      <c r="H14" s="2" t="n">
        <v>5</v>
      </c>
      <c r="I14" s="2" t="n">
        <v>50349</v>
      </c>
      <c r="J14" s="2" t="s">
        <v>16</v>
      </c>
      <c r="K14" s="2" t="s">
        <v>17</v>
      </c>
      <c r="L14" s="2" t="s">
        <v>36</v>
      </c>
    </row>
    <row r="15" customFormat="false" ht="15" hidden="false" customHeight="false" outlineLevel="0" collapsed="false">
      <c r="A15" s="4" t="s">
        <v>68</v>
      </c>
      <c r="B15" s="4" t="s">
        <v>69</v>
      </c>
      <c r="C15" s="5" t="s">
        <v>70</v>
      </c>
      <c r="D15" s="5" t="s">
        <v>15</v>
      </c>
      <c r="E15" s="4" t="n">
        <v>4</v>
      </c>
      <c r="F15" s="4" t="n">
        <v>1299</v>
      </c>
      <c r="G15" s="4" t="n">
        <v>5196</v>
      </c>
      <c r="H15" s="4" t="n">
        <v>10</v>
      </c>
      <c r="I15" s="4" t="n">
        <v>4676</v>
      </c>
      <c r="J15" s="4" t="s">
        <v>23</v>
      </c>
      <c r="K15" s="4" t="s">
        <v>30</v>
      </c>
      <c r="L15" s="4" t="s">
        <v>18</v>
      </c>
    </row>
    <row r="16" customFormat="false" ht="15" hidden="false" customHeight="false" outlineLevel="0" collapsed="false">
      <c r="A16" s="2" t="s">
        <v>71</v>
      </c>
      <c r="B16" s="2" t="s">
        <v>72</v>
      </c>
      <c r="C16" s="3" t="s">
        <v>73</v>
      </c>
      <c r="D16" s="3" t="s">
        <v>34</v>
      </c>
      <c r="E16" s="2" t="n">
        <v>6</v>
      </c>
      <c r="F16" s="2" t="n">
        <v>399</v>
      </c>
      <c r="G16" s="2" t="n">
        <v>2394</v>
      </c>
      <c r="H16" s="2" t="n">
        <v>0</v>
      </c>
      <c r="I16" s="2" t="n">
        <v>2394</v>
      </c>
      <c r="J16" s="2" t="s">
        <v>35</v>
      </c>
      <c r="K16" s="2" t="s">
        <v>24</v>
      </c>
      <c r="L16" s="2" t="s">
        <v>25</v>
      </c>
    </row>
    <row r="17" customFormat="false" ht="15" hidden="false" customHeight="false" outlineLevel="0" collapsed="false">
      <c r="A17" s="4" t="s">
        <v>74</v>
      </c>
      <c r="B17" s="4" t="s">
        <v>75</v>
      </c>
      <c r="C17" s="5" t="s">
        <v>76</v>
      </c>
      <c r="D17" s="5" t="s">
        <v>49</v>
      </c>
      <c r="E17" s="4" t="n">
        <v>2</v>
      </c>
      <c r="F17" s="4" t="n">
        <v>1299</v>
      </c>
      <c r="G17" s="4" t="n">
        <v>2598</v>
      </c>
      <c r="H17" s="4" t="n">
        <v>5</v>
      </c>
      <c r="I17" s="4" t="n">
        <v>2468</v>
      </c>
      <c r="J17" s="4" t="s">
        <v>16</v>
      </c>
      <c r="K17" s="4" t="s">
        <v>17</v>
      </c>
      <c r="L17" s="4" t="s">
        <v>18</v>
      </c>
    </row>
    <row r="18" customFormat="false" ht="15" hidden="false" customHeight="false" outlineLevel="0" collapsed="false">
      <c r="A18" s="2" t="s">
        <v>77</v>
      </c>
      <c r="B18" s="2" t="s">
        <v>78</v>
      </c>
      <c r="C18" s="3" t="s">
        <v>79</v>
      </c>
      <c r="D18" s="3" t="s">
        <v>45</v>
      </c>
      <c r="E18" s="2" t="n">
        <v>5</v>
      </c>
      <c r="F18" s="2" t="n">
        <v>599</v>
      </c>
      <c r="G18" s="2" t="n">
        <v>2995</v>
      </c>
      <c r="H18" s="2" t="n">
        <v>10</v>
      </c>
      <c r="I18" s="2" t="n">
        <v>2696</v>
      </c>
      <c r="J18" s="2" t="s">
        <v>23</v>
      </c>
      <c r="K18" s="2" t="s">
        <v>41</v>
      </c>
      <c r="L18" s="2" t="s">
        <v>36</v>
      </c>
    </row>
    <row r="19" customFormat="false" ht="15" hidden="false" customHeight="false" outlineLevel="0" collapsed="false">
      <c r="A19" s="4" t="s">
        <v>80</v>
      </c>
      <c r="B19" s="4" t="s">
        <v>81</v>
      </c>
      <c r="C19" s="5" t="s">
        <v>82</v>
      </c>
      <c r="D19" s="5" t="s">
        <v>34</v>
      </c>
      <c r="E19" s="4" t="n">
        <v>15</v>
      </c>
      <c r="F19" s="4" t="n">
        <v>185</v>
      </c>
      <c r="G19" s="4" t="n">
        <v>2775</v>
      </c>
      <c r="H19" s="4" t="n">
        <v>0</v>
      </c>
      <c r="I19" s="4" t="n">
        <v>2775</v>
      </c>
      <c r="J19" s="4" t="s">
        <v>35</v>
      </c>
      <c r="K19" s="4" t="s">
        <v>30</v>
      </c>
      <c r="L19" s="4" t="s">
        <v>25</v>
      </c>
    </row>
    <row r="20" customFormat="false" ht="15" hidden="false" customHeight="false" outlineLevel="0" collapsed="false">
      <c r="A20" s="2" t="s">
        <v>83</v>
      </c>
      <c r="B20" s="2" t="s">
        <v>84</v>
      </c>
      <c r="C20" s="3" t="s">
        <v>85</v>
      </c>
      <c r="D20" s="3" t="s">
        <v>29</v>
      </c>
      <c r="E20" s="2" t="n">
        <v>2</v>
      </c>
      <c r="F20" s="2" t="n">
        <v>1999</v>
      </c>
      <c r="G20" s="2" t="n">
        <v>3998</v>
      </c>
      <c r="H20" s="2" t="n">
        <v>5</v>
      </c>
      <c r="I20" s="2" t="n">
        <v>3798</v>
      </c>
      <c r="J20" s="2" t="s">
        <v>16</v>
      </c>
      <c r="K20" s="2" t="s">
        <v>24</v>
      </c>
      <c r="L20" s="2" t="s">
        <v>18</v>
      </c>
    </row>
    <row r="21" customFormat="false" ht="15" hidden="false" customHeight="false" outlineLevel="0" collapsed="false">
      <c r="A21" s="4" t="s">
        <v>86</v>
      </c>
      <c r="B21" s="4" t="s">
        <v>87</v>
      </c>
      <c r="C21" s="5" t="s">
        <v>88</v>
      </c>
      <c r="D21" s="5" t="s">
        <v>15</v>
      </c>
      <c r="E21" s="4" t="n">
        <v>3</v>
      </c>
      <c r="F21" s="4" t="n">
        <v>1799</v>
      </c>
      <c r="G21" s="4" t="n">
        <v>5397</v>
      </c>
      <c r="H21" s="4" t="n">
        <v>10</v>
      </c>
      <c r="I21" s="4" t="n">
        <v>4857</v>
      </c>
      <c r="J21" s="4" t="s">
        <v>23</v>
      </c>
      <c r="K21" s="4" t="s">
        <v>17</v>
      </c>
      <c r="L21" s="4" t="s">
        <v>36</v>
      </c>
    </row>
    <row r="22" customFormat="false" ht="15" hidden="false" customHeight="false" outlineLevel="0" collapsed="false">
      <c r="A22" s="2" t="s">
        <v>89</v>
      </c>
      <c r="B22" s="2" t="s">
        <v>90</v>
      </c>
      <c r="C22" s="3" t="s">
        <v>91</v>
      </c>
      <c r="D22" s="3" t="s">
        <v>22</v>
      </c>
      <c r="E22" s="2" t="n">
        <v>4</v>
      </c>
      <c r="F22" s="2" t="n">
        <v>999</v>
      </c>
      <c r="G22" s="2" t="n">
        <v>3996</v>
      </c>
      <c r="H22" s="2" t="n">
        <v>5</v>
      </c>
      <c r="I22" s="2" t="n">
        <v>3796</v>
      </c>
      <c r="J22" s="2" t="s">
        <v>35</v>
      </c>
      <c r="K22" s="2" t="s">
        <v>41</v>
      </c>
      <c r="L22" s="2" t="s">
        <v>18</v>
      </c>
    </row>
    <row r="23" customFormat="false" ht="15" hidden="false" customHeight="false" outlineLevel="0" collapsed="false">
      <c r="A23" s="4" t="s">
        <v>92</v>
      </c>
      <c r="B23" s="4" t="s">
        <v>93</v>
      </c>
      <c r="C23" s="5" t="s">
        <v>94</v>
      </c>
      <c r="D23" s="5" t="s">
        <v>34</v>
      </c>
      <c r="E23" s="4" t="n">
        <v>10</v>
      </c>
      <c r="F23" s="4" t="n">
        <v>144</v>
      </c>
      <c r="G23" s="4" t="n">
        <v>1440</v>
      </c>
      <c r="H23" s="4" t="n">
        <v>0</v>
      </c>
      <c r="I23" s="4" t="n">
        <v>1440</v>
      </c>
      <c r="J23" s="4" t="s">
        <v>23</v>
      </c>
      <c r="K23" s="4" t="s">
        <v>17</v>
      </c>
      <c r="L23" s="4" t="s">
        <v>25</v>
      </c>
    </row>
    <row r="24" customFormat="false" ht="15" hidden="false" customHeight="false" outlineLevel="0" collapsed="false">
      <c r="A24" s="2" t="s">
        <v>95</v>
      </c>
      <c r="B24" s="2" t="s">
        <v>96</v>
      </c>
      <c r="C24" s="3" t="s">
        <v>97</v>
      </c>
      <c r="D24" s="3" t="s">
        <v>29</v>
      </c>
      <c r="E24" s="2" t="n">
        <v>1</v>
      </c>
      <c r="F24" s="2" t="n">
        <v>28999</v>
      </c>
      <c r="G24" s="2" t="n">
        <v>28999</v>
      </c>
      <c r="H24" s="2" t="n">
        <v>7</v>
      </c>
      <c r="I24" s="2" t="n">
        <v>26969</v>
      </c>
      <c r="J24" s="2" t="s">
        <v>16</v>
      </c>
      <c r="K24" s="2" t="s">
        <v>24</v>
      </c>
      <c r="L24" s="2" t="s">
        <v>36</v>
      </c>
    </row>
    <row r="25" customFormat="false" ht="15" hidden="false" customHeight="false" outlineLevel="0" collapsed="false">
      <c r="A25" s="4" t="s">
        <v>98</v>
      </c>
      <c r="B25" s="4" t="s">
        <v>99</v>
      </c>
      <c r="C25" s="5" t="s">
        <v>100</v>
      </c>
      <c r="D25" s="5" t="s">
        <v>40</v>
      </c>
      <c r="E25" s="4" t="n">
        <v>9</v>
      </c>
      <c r="F25" s="4" t="n">
        <v>199</v>
      </c>
      <c r="G25" s="4" t="n">
        <v>1791</v>
      </c>
      <c r="H25" s="4" t="n">
        <v>0</v>
      </c>
      <c r="I25" s="4" t="n">
        <v>1791</v>
      </c>
      <c r="J25" s="4" t="s">
        <v>35</v>
      </c>
      <c r="K25" s="4" t="s">
        <v>30</v>
      </c>
      <c r="L25" s="4" t="s">
        <v>18</v>
      </c>
    </row>
    <row r="26" customFormat="false" ht="15" hidden="false" customHeight="false" outlineLevel="0" collapsed="false">
      <c r="A26" s="2" t="s">
        <v>101</v>
      </c>
      <c r="B26" s="2" t="s">
        <v>102</v>
      </c>
      <c r="C26" s="3" t="s">
        <v>103</v>
      </c>
      <c r="D26" s="3" t="s">
        <v>15</v>
      </c>
      <c r="E26" s="2" t="n">
        <v>3</v>
      </c>
      <c r="F26" s="2" t="n">
        <v>1599</v>
      </c>
      <c r="G26" s="2" t="n">
        <v>4797</v>
      </c>
      <c r="H26" s="2" t="n">
        <v>10</v>
      </c>
      <c r="I26" s="2" t="n">
        <v>4317</v>
      </c>
      <c r="J26" s="2" t="s">
        <v>23</v>
      </c>
      <c r="K26" s="2" t="s">
        <v>17</v>
      </c>
      <c r="L26" s="2" t="s">
        <v>25</v>
      </c>
    </row>
    <row r="27" customFormat="false" ht="15" hidden="false" customHeight="false" outlineLevel="0" collapsed="false">
      <c r="A27" s="4" t="s">
        <v>104</v>
      </c>
      <c r="B27" s="4" t="s">
        <v>105</v>
      </c>
      <c r="C27" s="5" t="s">
        <v>106</v>
      </c>
      <c r="D27" s="5" t="s">
        <v>49</v>
      </c>
      <c r="E27" s="4" t="n">
        <v>6</v>
      </c>
      <c r="F27" s="4" t="n">
        <v>499</v>
      </c>
      <c r="G27" s="4" t="n">
        <v>2994</v>
      </c>
      <c r="H27" s="4" t="n">
        <v>5</v>
      </c>
      <c r="I27" s="4" t="n">
        <v>2844</v>
      </c>
      <c r="J27" s="4" t="s">
        <v>16</v>
      </c>
      <c r="K27" s="4" t="s">
        <v>24</v>
      </c>
      <c r="L27" s="4" t="s">
        <v>36</v>
      </c>
    </row>
    <row r="28" customFormat="false" ht="15" hidden="false" customHeight="false" outlineLevel="0" collapsed="false">
      <c r="A28" s="2" t="s">
        <v>107</v>
      </c>
      <c r="B28" s="2" t="s">
        <v>108</v>
      </c>
      <c r="C28" s="3" t="s">
        <v>109</v>
      </c>
      <c r="D28" s="3" t="s">
        <v>45</v>
      </c>
      <c r="E28" s="2" t="n">
        <v>2</v>
      </c>
      <c r="F28" s="2" t="n">
        <v>2199</v>
      </c>
      <c r="G28" s="2" t="n">
        <v>4398</v>
      </c>
      <c r="H28" s="2" t="n">
        <v>8</v>
      </c>
      <c r="I28" s="2" t="n">
        <v>4046</v>
      </c>
      <c r="J28" s="2" t="s">
        <v>35</v>
      </c>
      <c r="K28" s="2" t="s">
        <v>41</v>
      </c>
      <c r="L28" s="2" t="s">
        <v>18</v>
      </c>
    </row>
    <row r="29" customFormat="false" ht="15" hidden="false" customHeight="false" outlineLevel="0" collapsed="false">
      <c r="A29" s="4" t="s">
        <v>110</v>
      </c>
      <c r="B29" s="4" t="s">
        <v>111</v>
      </c>
      <c r="C29" s="5" t="s">
        <v>112</v>
      </c>
      <c r="D29" s="5" t="s">
        <v>40</v>
      </c>
      <c r="E29" s="4" t="n">
        <v>8</v>
      </c>
      <c r="F29" s="4" t="n">
        <v>299</v>
      </c>
      <c r="G29" s="4" t="n">
        <v>2392</v>
      </c>
      <c r="H29" s="4" t="n">
        <v>0</v>
      </c>
      <c r="I29" s="4" t="n">
        <v>2392</v>
      </c>
      <c r="J29" s="4" t="s">
        <v>23</v>
      </c>
      <c r="K29" s="4" t="s">
        <v>30</v>
      </c>
      <c r="L29" s="4" t="s">
        <v>25</v>
      </c>
    </row>
    <row r="30" customFormat="false" ht="15" hidden="false" customHeight="false" outlineLevel="0" collapsed="false">
      <c r="A30" s="2" t="s">
        <v>113</v>
      </c>
      <c r="B30" s="2" t="s">
        <v>114</v>
      </c>
      <c r="C30" s="3" t="s">
        <v>115</v>
      </c>
      <c r="D30" s="3" t="s">
        <v>29</v>
      </c>
      <c r="E30" s="2" t="n">
        <v>2</v>
      </c>
      <c r="F30" s="2" t="n">
        <v>4999</v>
      </c>
      <c r="G30" s="2" t="n">
        <v>9998</v>
      </c>
      <c r="H30" s="2" t="n">
        <v>5</v>
      </c>
      <c r="I30" s="2" t="n">
        <v>9498</v>
      </c>
      <c r="J30" s="2" t="s">
        <v>16</v>
      </c>
      <c r="K30" s="2" t="s">
        <v>17</v>
      </c>
      <c r="L30" s="2" t="s">
        <v>36</v>
      </c>
    </row>
    <row r="31" customFormat="false" ht="15" hidden="false" customHeight="false" outlineLevel="0" collapsed="false">
      <c r="A31" s="4" t="s">
        <v>116</v>
      </c>
      <c r="B31" s="4" t="s">
        <v>117</v>
      </c>
      <c r="C31" s="5" t="s">
        <v>118</v>
      </c>
      <c r="D31" s="5" t="s">
        <v>34</v>
      </c>
      <c r="E31" s="4" t="n">
        <v>30</v>
      </c>
      <c r="F31" s="4" t="n">
        <v>10</v>
      </c>
      <c r="G31" s="4" t="n">
        <v>300</v>
      </c>
      <c r="H31" s="4" t="n">
        <v>0</v>
      </c>
      <c r="I31" s="4" t="n">
        <v>300</v>
      </c>
      <c r="J31" s="4" t="s">
        <v>35</v>
      </c>
      <c r="K31" s="4" t="s">
        <v>24</v>
      </c>
      <c r="L31" s="4" t="s">
        <v>18</v>
      </c>
    </row>
    <row r="32" customFormat="false" ht="15" hidden="false" customHeight="false" outlineLevel="0" collapsed="false">
      <c r="A32" s="6" t="s">
        <v>119</v>
      </c>
      <c r="B32" s="6"/>
      <c r="C32" s="7"/>
      <c r="D32" s="7"/>
      <c r="E32" s="6" t="n">
        <f aca="false">SUM(E2:E31)</f>
        <v>182</v>
      </c>
      <c r="F32" s="6" t="n">
        <f aca="false">SUM(F2:F31)</f>
        <v>153137</v>
      </c>
      <c r="G32" s="6" t="n">
        <f aca="false">SUM(G2:G31)</f>
        <v>220888</v>
      </c>
      <c r="H32" s="6" t="n">
        <f aca="false">AVERAGE(H2:H31)</f>
        <v>4.93333333333333</v>
      </c>
      <c r="I32" s="6" t="n">
        <f aca="false">SUM(I2:I31)</f>
        <v>207155</v>
      </c>
      <c r="J32" s="6"/>
      <c r="K32" s="6"/>
      <c r="L32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15"/>
    <col collapsed="false" customWidth="true" hidden="false" outlineLevel="0" max="4" min="4" style="0" width="14"/>
    <col collapsed="false" customWidth="true" hidden="false" outlineLevel="0" max="5" min="5" style="0" width="15"/>
    <col collapsed="false" customWidth="true" hidden="false" outlineLevel="0" max="6" min="6" style="0" width="10"/>
    <col collapsed="false" customWidth="true" hidden="false" outlineLevel="0" max="7" min="7" style="0" width="15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1" min="10" style="0" width="14"/>
  </cols>
  <sheetData>
    <row r="1" customFormat="false" ht="31.5" hidden="false" customHeight="true" outlineLevel="0" collapsed="false">
      <c r="A1" s="8" t="s">
        <v>120</v>
      </c>
      <c r="B1" s="8" t="s">
        <v>2</v>
      </c>
      <c r="C1" s="8" t="s">
        <v>3</v>
      </c>
      <c r="D1" s="8" t="s">
        <v>121</v>
      </c>
      <c r="E1" s="8" t="s">
        <v>122</v>
      </c>
      <c r="F1" s="8" t="s">
        <v>4</v>
      </c>
      <c r="G1" s="8" t="s">
        <v>123</v>
      </c>
      <c r="H1" s="8" t="s">
        <v>124</v>
      </c>
      <c r="I1" s="8" t="s">
        <v>125</v>
      </c>
      <c r="J1" s="8" t="s">
        <v>126</v>
      </c>
      <c r="K1" s="8" t="s">
        <v>127</v>
      </c>
    </row>
    <row r="2" customFormat="false" ht="15" hidden="false" customHeight="false" outlineLevel="0" collapsed="false">
      <c r="A2" s="2" t="s">
        <v>128</v>
      </c>
      <c r="B2" s="3" t="s">
        <v>14</v>
      </c>
      <c r="C2" s="3" t="s">
        <v>15</v>
      </c>
      <c r="D2" s="2" t="n">
        <v>50</v>
      </c>
      <c r="E2" s="2" t="n">
        <v>30</v>
      </c>
      <c r="F2" s="2" t="n">
        <v>18</v>
      </c>
      <c r="G2" s="2" t="n">
        <v>62</v>
      </c>
      <c r="H2" s="2" t="n">
        <v>20</v>
      </c>
      <c r="I2" s="2" t="s">
        <v>129</v>
      </c>
      <c r="J2" s="2" t="n">
        <v>2499</v>
      </c>
      <c r="K2" s="2" t="n">
        <v>154938</v>
      </c>
    </row>
    <row r="3" customFormat="false" ht="15" hidden="false" customHeight="false" outlineLevel="0" collapsed="false">
      <c r="A3" s="4" t="s">
        <v>130</v>
      </c>
      <c r="B3" s="5" t="s">
        <v>21</v>
      </c>
      <c r="C3" s="5" t="s">
        <v>22</v>
      </c>
      <c r="D3" s="4" t="n">
        <v>40</v>
      </c>
      <c r="E3" s="4" t="n">
        <v>20</v>
      </c>
      <c r="F3" s="4" t="n">
        <v>14</v>
      </c>
      <c r="G3" s="4" t="n">
        <v>46</v>
      </c>
      <c r="H3" s="4" t="n">
        <v>15</v>
      </c>
      <c r="I3" s="4" t="s">
        <v>129</v>
      </c>
      <c r="J3" s="4" t="n">
        <v>3999</v>
      </c>
      <c r="K3" s="4" t="n">
        <v>183954</v>
      </c>
    </row>
    <row r="4" customFormat="false" ht="15" hidden="false" customHeight="false" outlineLevel="0" collapsed="false">
      <c r="A4" s="2" t="s">
        <v>131</v>
      </c>
      <c r="B4" s="3" t="s">
        <v>28</v>
      </c>
      <c r="C4" s="3" t="s">
        <v>29</v>
      </c>
      <c r="D4" s="2" t="n">
        <v>10</v>
      </c>
      <c r="E4" s="2" t="n">
        <v>5</v>
      </c>
      <c r="F4" s="2" t="n">
        <v>3</v>
      </c>
      <c r="G4" s="2" t="n">
        <v>12</v>
      </c>
      <c r="H4" s="2" t="n">
        <v>5</v>
      </c>
      <c r="I4" s="2" t="s">
        <v>129</v>
      </c>
      <c r="J4" s="2" t="n">
        <v>32999</v>
      </c>
      <c r="K4" s="2" t="n">
        <v>395988</v>
      </c>
    </row>
    <row r="5" customFormat="false" ht="15" hidden="false" customHeight="false" outlineLevel="0" collapsed="false">
      <c r="A5" s="4" t="s">
        <v>132</v>
      </c>
      <c r="B5" s="5" t="s">
        <v>33</v>
      </c>
      <c r="C5" s="5" t="s">
        <v>34</v>
      </c>
      <c r="D5" s="4" t="n">
        <v>200</v>
      </c>
      <c r="E5" s="4" t="n">
        <v>100</v>
      </c>
      <c r="F5" s="4" t="n">
        <v>80</v>
      </c>
      <c r="G5" s="4" t="n">
        <v>220</v>
      </c>
      <c r="H5" s="4" t="n">
        <v>50</v>
      </c>
      <c r="I5" s="4" t="s">
        <v>129</v>
      </c>
      <c r="J5" s="4" t="n">
        <v>499</v>
      </c>
      <c r="K5" s="4" t="n">
        <v>109780</v>
      </c>
    </row>
    <row r="6" customFormat="false" ht="15" hidden="false" customHeight="false" outlineLevel="0" collapsed="false">
      <c r="A6" s="2" t="s">
        <v>133</v>
      </c>
      <c r="B6" s="3" t="s">
        <v>39</v>
      </c>
      <c r="C6" s="3" t="s">
        <v>40</v>
      </c>
      <c r="D6" s="2" t="n">
        <v>120</v>
      </c>
      <c r="E6" s="2" t="n">
        <v>60</v>
      </c>
      <c r="F6" s="2" t="n">
        <v>45</v>
      </c>
      <c r="G6" s="2" t="n">
        <v>135</v>
      </c>
      <c r="H6" s="2" t="n">
        <v>40</v>
      </c>
      <c r="I6" s="2" t="s">
        <v>129</v>
      </c>
      <c r="J6" s="2" t="n">
        <v>299</v>
      </c>
      <c r="K6" s="2" t="n">
        <v>40365</v>
      </c>
    </row>
    <row r="7" customFormat="false" ht="15" hidden="false" customHeight="false" outlineLevel="0" collapsed="false">
      <c r="A7" s="4" t="s">
        <v>134</v>
      </c>
      <c r="B7" s="5" t="s">
        <v>44</v>
      </c>
      <c r="C7" s="5" t="s">
        <v>45</v>
      </c>
      <c r="D7" s="4" t="n">
        <v>25</v>
      </c>
      <c r="E7" s="4" t="n">
        <v>10</v>
      </c>
      <c r="F7" s="4" t="n">
        <v>8</v>
      </c>
      <c r="G7" s="4" t="n">
        <v>27</v>
      </c>
      <c r="H7" s="4" t="n">
        <v>10</v>
      </c>
      <c r="I7" s="4" t="s">
        <v>129</v>
      </c>
      <c r="J7" s="4" t="n">
        <v>4999</v>
      </c>
      <c r="K7" s="4" t="n">
        <v>134973</v>
      </c>
    </row>
    <row r="8" customFormat="false" ht="15" hidden="false" customHeight="false" outlineLevel="0" collapsed="false">
      <c r="A8" s="2" t="s">
        <v>135</v>
      </c>
      <c r="B8" s="3" t="s">
        <v>48</v>
      </c>
      <c r="C8" s="3" t="s">
        <v>49</v>
      </c>
      <c r="D8" s="2" t="n">
        <v>30</v>
      </c>
      <c r="E8" s="2" t="n">
        <v>15</v>
      </c>
      <c r="F8" s="2" t="n">
        <v>9</v>
      </c>
      <c r="G8" s="2" t="n">
        <v>36</v>
      </c>
      <c r="H8" s="2" t="n">
        <v>10</v>
      </c>
      <c r="I8" s="2" t="s">
        <v>129</v>
      </c>
      <c r="J8" s="2" t="n">
        <v>1899</v>
      </c>
      <c r="K8" s="2" t="n">
        <v>68364</v>
      </c>
    </row>
    <row r="9" customFormat="false" ht="15" hidden="false" customHeight="false" outlineLevel="0" collapsed="false">
      <c r="A9" s="4" t="s">
        <v>136</v>
      </c>
      <c r="B9" s="5" t="s">
        <v>52</v>
      </c>
      <c r="C9" s="5" t="s">
        <v>15</v>
      </c>
      <c r="D9" s="4" t="n">
        <v>80</v>
      </c>
      <c r="E9" s="4" t="n">
        <v>40</v>
      </c>
      <c r="F9" s="4" t="n">
        <v>32</v>
      </c>
      <c r="G9" s="4" t="n">
        <v>88</v>
      </c>
      <c r="H9" s="4" t="n">
        <v>25</v>
      </c>
      <c r="I9" s="4" t="s">
        <v>129</v>
      </c>
      <c r="J9" s="4" t="n">
        <v>999</v>
      </c>
      <c r="K9" s="4" t="n">
        <v>87912</v>
      </c>
    </row>
    <row r="10" customFormat="false" ht="15" hidden="false" customHeight="false" outlineLevel="0" collapsed="false">
      <c r="A10" s="2" t="s">
        <v>137</v>
      </c>
      <c r="B10" s="3" t="s">
        <v>55</v>
      </c>
      <c r="C10" s="3" t="s">
        <v>29</v>
      </c>
      <c r="D10" s="2" t="n">
        <v>60</v>
      </c>
      <c r="E10" s="2" t="n">
        <v>30</v>
      </c>
      <c r="F10" s="2" t="n">
        <v>22</v>
      </c>
      <c r="G10" s="2" t="n">
        <v>68</v>
      </c>
      <c r="H10" s="2" t="n">
        <v>20</v>
      </c>
      <c r="I10" s="2" t="s">
        <v>129</v>
      </c>
      <c r="J10" s="2" t="n">
        <v>1499</v>
      </c>
      <c r="K10" s="2" t="n">
        <v>101932</v>
      </c>
    </row>
    <row r="11" customFormat="false" ht="15" hidden="false" customHeight="false" outlineLevel="0" collapsed="false">
      <c r="A11" s="4" t="s">
        <v>138</v>
      </c>
      <c r="B11" s="5" t="s">
        <v>58</v>
      </c>
      <c r="C11" s="5" t="s">
        <v>40</v>
      </c>
      <c r="D11" s="4" t="n">
        <v>300</v>
      </c>
      <c r="E11" s="4" t="n">
        <v>150</v>
      </c>
      <c r="F11" s="4" t="n">
        <v>120</v>
      </c>
      <c r="G11" s="4" t="n">
        <v>330</v>
      </c>
      <c r="H11" s="4" t="n">
        <v>80</v>
      </c>
      <c r="I11" s="4" t="s">
        <v>129</v>
      </c>
      <c r="J11" s="4" t="n">
        <v>99</v>
      </c>
      <c r="K11" s="4" t="n">
        <v>32670</v>
      </c>
    </row>
    <row r="12" customFormat="false" ht="15" hidden="false" customHeight="false" outlineLevel="0" collapsed="false">
      <c r="A12" s="2" t="s">
        <v>139</v>
      </c>
      <c r="B12" s="3" t="s">
        <v>61</v>
      </c>
      <c r="C12" s="3" t="s">
        <v>22</v>
      </c>
      <c r="D12" s="2" t="n">
        <v>35</v>
      </c>
      <c r="E12" s="2" t="n">
        <v>15</v>
      </c>
      <c r="F12" s="2" t="n">
        <v>12</v>
      </c>
      <c r="G12" s="2" t="n">
        <v>38</v>
      </c>
      <c r="H12" s="2" t="n">
        <v>12</v>
      </c>
      <c r="I12" s="2" t="s">
        <v>129</v>
      </c>
      <c r="J12" s="2" t="n">
        <v>2799</v>
      </c>
      <c r="K12" s="2" t="n">
        <v>106362</v>
      </c>
    </row>
    <row r="13" customFormat="false" ht="15" hidden="false" customHeight="false" outlineLevel="0" collapsed="false">
      <c r="A13" s="4" t="s">
        <v>140</v>
      </c>
      <c r="B13" s="5" t="s">
        <v>64</v>
      </c>
      <c r="C13" s="5" t="s">
        <v>34</v>
      </c>
      <c r="D13" s="4" t="n">
        <v>500</v>
      </c>
      <c r="E13" s="4" t="n">
        <v>200</v>
      </c>
      <c r="F13" s="4" t="n">
        <v>180</v>
      </c>
      <c r="G13" s="4" t="n">
        <v>520</v>
      </c>
      <c r="H13" s="4" t="n">
        <v>100</v>
      </c>
      <c r="I13" s="4" t="s">
        <v>129</v>
      </c>
      <c r="J13" s="4" t="n">
        <v>24</v>
      </c>
      <c r="K13" s="4" t="n">
        <v>12480</v>
      </c>
    </row>
    <row r="14" customFormat="false" ht="15" hidden="false" customHeight="false" outlineLevel="0" collapsed="false">
      <c r="A14" s="2" t="s">
        <v>141</v>
      </c>
      <c r="B14" s="3" t="s">
        <v>67</v>
      </c>
      <c r="C14" s="3" t="s">
        <v>29</v>
      </c>
      <c r="D14" s="2" t="n">
        <v>8</v>
      </c>
      <c r="E14" s="2" t="n">
        <v>4</v>
      </c>
      <c r="F14" s="2" t="n">
        <v>2</v>
      </c>
      <c r="G14" s="2" t="n">
        <v>10</v>
      </c>
      <c r="H14" s="2" t="n">
        <v>4</v>
      </c>
      <c r="I14" s="2" t="s">
        <v>129</v>
      </c>
      <c r="J14" s="2" t="n">
        <v>52999</v>
      </c>
      <c r="K14" s="2" t="n">
        <v>529990</v>
      </c>
    </row>
    <row r="15" customFormat="false" ht="15" hidden="false" customHeight="false" outlineLevel="0" collapsed="false">
      <c r="A15" s="4" t="s">
        <v>142</v>
      </c>
      <c r="B15" s="5" t="s">
        <v>70</v>
      </c>
      <c r="C15" s="5" t="s">
        <v>15</v>
      </c>
      <c r="D15" s="4" t="n">
        <v>60</v>
      </c>
      <c r="E15" s="4" t="n">
        <v>25</v>
      </c>
      <c r="F15" s="4" t="n">
        <v>20</v>
      </c>
      <c r="G15" s="4" t="n">
        <v>65</v>
      </c>
      <c r="H15" s="4" t="n">
        <v>20</v>
      </c>
      <c r="I15" s="4" t="s">
        <v>129</v>
      </c>
      <c r="J15" s="4" t="n">
        <v>1299</v>
      </c>
      <c r="K15" s="4" t="n">
        <v>84435</v>
      </c>
    </row>
    <row r="16" customFormat="false" ht="15" hidden="false" customHeight="false" outlineLevel="0" collapsed="false">
      <c r="A16" s="2" t="s">
        <v>143</v>
      </c>
      <c r="B16" s="3" t="s">
        <v>73</v>
      </c>
      <c r="C16" s="3" t="s">
        <v>34</v>
      </c>
      <c r="D16" s="2" t="n">
        <v>90</v>
      </c>
      <c r="E16" s="2" t="n">
        <v>40</v>
      </c>
      <c r="F16" s="2" t="n">
        <v>30</v>
      </c>
      <c r="G16" s="2" t="n">
        <v>100</v>
      </c>
      <c r="H16" s="2" t="n">
        <v>30</v>
      </c>
      <c r="I16" s="2" t="s">
        <v>129</v>
      </c>
      <c r="J16" s="2" t="n">
        <v>399</v>
      </c>
      <c r="K16" s="2" t="n">
        <v>39900</v>
      </c>
    </row>
    <row r="17" customFormat="false" ht="15" hidden="false" customHeight="false" outlineLevel="0" collapsed="false">
      <c r="A17" s="4" t="s">
        <v>144</v>
      </c>
      <c r="B17" s="5" t="s">
        <v>76</v>
      </c>
      <c r="C17" s="5" t="s">
        <v>49</v>
      </c>
      <c r="D17" s="4" t="n">
        <v>20</v>
      </c>
      <c r="E17" s="4" t="n">
        <v>10</v>
      </c>
      <c r="F17" s="4" t="n">
        <v>6</v>
      </c>
      <c r="G17" s="4" t="n">
        <v>24</v>
      </c>
      <c r="H17" s="4" t="n">
        <v>8</v>
      </c>
      <c r="I17" s="4" t="s">
        <v>129</v>
      </c>
      <c r="J17" s="4" t="n">
        <v>1299</v>
      </c>
      <c r="K17" s="4" t="n">
        <v>31176</v>
      </c>
    </row>
    <row r="18" customFormat="false" ht="15" hidden="false" customHeight="false" outlineLevel="0" collapsed="false">
      <c r="A18" s="2" t="s">
        <v>145</v>
      </c>
      <c r="B18" s="3" t="s">
        <v>79</v>
      </c>
      <c r="C18" s="3" t="s">
        <v>45</v>
      </c>
      <c r="D18" s="2" t="n">
        <v>70</v>
      </c>
      <c r="E18" s="2" t="n">
        <v>30</v>
      </c>
      <c r="F18" s="2" t="n">
        <v>18</v>
      </c>
      <c r="G18" s="2" t="n">
        <v>82</v>
      </c>
      <c r="H18" s="2" t="n">
        <v>20</v>
      </c>
      <c r="I18" s="2" t="s">
        <v>129</v>
      </c>
      <c r="J18" s="2" t="n">
        <v>599</v>
      </c>
      <c r="K18" s="2" t="n">
        <v>49118</v>
      </c>
    </row>
    <row r="19" customFormat="false" ht="15" hidden="false" customHeight="false" outlineLevel="0" collapsed="false">
      <c r="A19" s="4" t="s">
        <v>146</v>
      </c>
      <c r="B19" s="5" t="s">
        <v>82</v>
      </c>
      <c r="C19" s="5" t="s">
        <v>34</v>
      </c>
      <c r="D19" s="4" t="n">
        <v>250</v>
      </c>
      <c r="E19" s="4" t="n">
        <v>100</v>
      </c>
      <c r="F19" s="4" t="n">
        <v>95</v>
      </c>
      <c r="G19" s="4" t="n">
        <v>255</v>
      </c>
      <c r="H19" s="4" t="n">
        <v>60</v>
      </c>
      <c r="I19" s="4" t="s">
        <v>129</v>
      </c>
      <c r="J19" s="4" t="n">
        <v>185</v>
      </c>
      <c r="K19" s="4" t="n">
        <v>47175</v>
      </c>
    </row>
    <row r="20" customFormat="false" ht="15" hidden="false" customHeight="false" outlineLevel="0" collapsed="false">
      <c r="A20" s="2" t="s">
        <v>147</v>
      </c>
      <c r="B20" s="3" t="s">
        <v>85</v>
      </c>
      <c r="C20" s="3" t="s">
        <v>29</v>
      </c>
      <c r="D20" s="2" t="n">
        <v>45</v>
      </c>
      <c r="E20" s="2" t="n">
        <v>20</v>
      </c>
      <c r="F20" s="2" t="n">
        <v>14</v>
      </c>
      <c r="G20" s="2" t="n">
        <v>51</v>
      </c>
      <c r="H20" s="2" t="n">
        <v>15</v>
      </c>
      <c r="I20" s="2" t="s">
        <v>129</v>
      </c>
      <c r="J20" s="2" t="n">
        <v>1999</v>
      </c>
      <c r="K20" s="2" t="n">
        <v>101949</v>
      </c>
    </row>
    <row r="21" customFormat="false" ht="15" hidden="false" customHeight="false" outlineLevel="0" collapsed="false">
      <c r="A21" s="4" t="s">
        <v>148</v>
      </c>
      <c r="B21" s="5" t="s">
        <v>94</v>
      </c>
      <c r="C21" s="5" t="s">
        <v>34</v>
      </c>
      <c r="D21" s="4" t="n">
        <v>400</v>
      </c>
      <c r="E21" s="4" t="n">
        <v>200</v>
      </c>
      <c r="F21" s="4" t="n">
        <v>160</v>
      </c>
      <c r="G21" s="4" t="n">
        <v>440</v>
      </c>
      <c r="H21" s="4" t="n">
        <v>80</v>
      </c>
      <c r="I21" s="4" t="s">
        <v>129</v>
      </c>
      <c r="J21" s="4" t="n">
        <v>144</v>
      </c>
      <c r="K21" s="4" t="n">
        <v>63360</v>
      </c>
    </row>
    <row r="22" customFormat="false" ht="15" hidden="false" customHeight="false" outlineLevel="0" collapsed="false">
      <c r="A22" s="2" t="s">
        <v>149</v>
      </c>
      <c r="B22" s="3" t="s">
        <v>97</v>
      </c>
      <c r="C22" s="3" t="s">
        <v>29</v>
      </c>
      <c r="D22" s="2" t="n">
        <v>6</v>
      </c>
      <c r="E22" s="2" t="n">
        <v>2</v>
      </c>
      <c r="F22" s="2" t="n">
        <v>1</v>
      </c>
      <c r="G22" s="2" t="n">
        <v>7</v>
      </c>
      <c r="H22" s="2" t="n">
        <v>3</v>
      </c>
      <c r="I22" s="2" t="s">
        <v>129</v>
      </c>
      <c r="J22" s="2" t="n">
        <v>28999</v>
      </c>
      <c r="K22" s="2" t="n">
        <v>202993</v>
      </c>
    </row>
    <row r="23" customFormat="false" ht="15" hidden="false" customHeight="false" outlineLevel="0" collapsed="false">
      <c r="A23" s="4" t="s">
        <v>150</v>
      </c>
      <c r="B23" s="5" t="s">
        <v>100</v>
      </c>
      <c r="C23" s="5" t="s">
        <v>40</v>
      </c>
      <c r="D23" s="4" t="n">
        <v>100</v>
      </c>
      <c r="E23" s="4" t="n">
        <v>50</v>
      </c>
      <c r="F23" s="4" t="n">
        <v>38</v>
      </c>
      <c r="G23" s="4" t="n">
        <v>112</v>
      </c>
      <c r="H23" s="4" t="n">
        <v>35</v>
      </c>
      <c r="I23" s="4" t="s">
        <v>129</v>
      </c>
      <c r="J23" s="4" t="n">
        <v>199</v>
      </c>
      <c r="K23" s="4" t="n">
        <v>22288</v>
      </c>
    </row>
    <row r="24" customFormat="false" ht="15" hidden="false" customHeight="false" outlineLevel="0" collapsed="false">
      <c r="A24" s="2" t="s">
        <v>151</v>
      </c>
      <c r="B24" s="3" t="s">
        <v>103</v>
      </c>
      <c r="C24" s="3" t="s">
        <v>15</v>
      </c>
      <c r="D24" s="2" t="n">
        <v>45</v>
      </c>
      <c r="E24" s="2" t="n">
        <v>20</v>
      </c>
      <c r="F24" s="2" t="n">
        <v>15</v>
      </c>
      <c r="G24" s="2" t="n">
        <v>50</v>
      </c>
      <c r="H24" s="2" t="n">
        <v>15</v>
      </c>
      <c r="I24" s="2" t="s">
        <v>129</v>
      </c>
      <c r="J24" s="2" t="n">
        <v>1599</v>
      </c>
      <c r="K24" s="2" t="n">
        <v>79950</v>
      </c>
    </row>
    <row r="25" customFormat="false" ht="15" hidden="false" customHeight="false" outlineLevel="0" collapsed="false">
      <c r="A25" s="4" t="s">
        <v>152</v>
      </c>
      <c r="B25" s="5" t="s">
        <v>106</v>
      </c>
      <c r="C25" s="5" t="s">
        <v>49</v>
      </c>
      <c r="D25" s="4" t="n">
        <v>80</v>
      </c>
      <c r="E25" s="4" t="n">
        <v>40</v>
      </c>
      <c r="F25" s="4" t="n">
        <v>24</v>
      </c>
      <c r="G25" s="4" t="n">
        <v>96</v>
      </c>
      <c r="H25" s="4" t="n">
        <v>25</v>
      </c>
      <c r="I25" s="4" t="s">
        <v>129</v>
      </c>
      <c r="J25" s="4" t="n">
        <v>499</v>
      </c>
      <c r="K25" s="4" t="n">
        <v>47904</v>
      </c>
    </row>
    <row r="26" customFormat="false" ht="15" hidden="false" customHeight="false" outlineLevel="0" collapsed="false">
      <c r="A26" s="2" t="s">
        <v>153</v>
      </c>
      <c r="B26" s="3" t="s">
        <v>109</v>
      </c>
      <c r="C26" s="3" t="s">
        <v>45</v>
      </c>
      <c r="D26" s="2" t="n">
        <v>30</v>
      </c>
      <c r="E26" s="2" t="n">
        <v>10</v>
      </c>
      <c r="F26" s="2" t="n">
        <v>8</v>
      </c>
      <c r="G26" s="2" t="n">
        <v>32</v>
      </c>
      <c r="H26" s="2" t="n">
        <v>12</v>
      </c>
      <c r="I26" s="2" t="s">
        <v>129</v>
      </c>
      <c r="J26" s="2" t="n">
        <v>2199</v>
      </c>
      <c r="K26" s="2" t="n">
        <v>70368</v>
      </c>
    </row>
    <row r="27" customFormat="false" ht="15" hidden="false" customHeight="false" outlineLevel="0" collapsed="false">
      <c r="A27" s="4" t="s">
        <v>154</v>
      </c>
      <c r="B27" s="5" t="s">
        <v>112</v>
      </c>
      <c r="C27" s="5" t="s">
        <v>40</v>
      </c>
      <c r="D27" s="4" t="n">
        <v>150</v>
      </c>
      <c r="E27" s="4" t="n">
        <v>60</v>
      </c>
      <c r="F27" s="4" t="n">
        <v>50</v>
      </c>
      <c r="G27" s="4" t="n">
        <v>160</v>
      </c>
      <c r="H27" s="4" t="n">
        <v>40</v>
      </c>
      <c r="I27" s="4" t="s">
        <v>129</v>
      </c>
      <c r="J27" s="4" t="n">
        <v>299</v>
      </c>
      <c r="K27" s="4" t="n">
        <v>47840</v>
      </c>
    </row>
    <row r="28" customFormat="false" ht="15" hidden="false" customHeight="false" outlineLevel="0" collapsed="false">
      <c r="A28" s="2" t="s">
        <v>155</v>
      </c>
      <c r="B28" s="3" t="s">
        <v>115</v>
      </c>
      <c r="C28" s="3" t="s">
        <v>29</v>
      </c>
      <c r="D28" s="2" t="n">
        <v>20</v>
      </c>
      <c r="E28" s="2" t="n">
        <v>10</v>
      </c>
      <c r="F28" s="2" t="n">
        <v>6</v>
      </c>
      <c r="G28" s="2" t="n">
        <v>24</v>
      </c>
      <c r="H28" s="2" t="n">
        <v>8</v>
      </c>
      <c r="I28" s="2" t="s">
        <v>129</v>
      </c>
      <c r="J28" s="2" t="n">
        <v>4999</v>
      </c>
      <c r="K28" s="2" t="n">
        <v>119976</v>
      </c>
    </row>
    <row r="29" customFormat="false" ht="15" hidden="false" customHeight="false" outlineLevel="0" collapsed="false">
      <c r="A29" s="4" t="s">
        <v>156</v>
      </c>
      <c r="B29" s="5" t="s">
        <v>118</v>
      </c>
      <c r="C29" s="5" t="s">
        <v>34</v>
      </c>
      <c r="D29" s="4" t="n">
        <v>800</v>
      </c>
      <c r="E29" s="4" t="n">
        <v>300</v>
      </c>
      <c r="F29" s="4" t="n">
        <v>280</v>
      </c>
      <c r="G29" s="4" t="n">
        <v>820</v>
      </c>
      <c r="H29" s="4" t="n">
        <v>150</v>
      </c>
      <c r="I29" s="4" t="s">
        <v>129</v>
      </c>
      <c r="J29" s="4" t="n">
        <v>10</v>
      </c>
      <c r="K29" s="4" t="n">
        <v>8200</v>
      </c>
    </row>
    <row r="30" customFormat="false" ht="15" hidden="false" customHeight="false" outlineLevel="0" collapsed="false">
      <c r="A30" s="2" t="s">
        <v>157</v>
      </c>
      <c r="B30" s="3" t="s">
        <v>91</v>
      </c>
      <c r="C30" s="3" t="s">
        <v>22</v>
      </c>
      <c r="D30" s="2" t="n">
        <v>55</v>
      </c>
      <c r="E30" s="2" t="n">
        <v>25</v>
      </c>
      <c r="F30" s="2" t="n">
        <v>18</v>
      </c>
      <c r="G30" s="2" t="n">
        <v>62</v>
      </c>
      <c r="H30" s="2" t="n">
        <v>20</v>
      </c>
      <c r="I30" s="2" t="s">
        <v>129</v>
      </c>
      <c r="J30" s="2" t="n">
        <v>999</v>
      </c>
      <c r="K30" s="2" t="n">
        <v>61938</v>
      </c>
    </row>
    <row r="31" customFormat="false" ht="15" hidden="false" customHeight="false" outlineLevel="0" collapsed="false">
      <c r="A31" s="4" t="s">
        <v>158</v>
      </c>
      <c r="B31" s="5" t="s">
        <v>88</v>
      </c>
      <c r="C31" s="5" t="s">
        <v>15</v>
      </c>
      <c r="D31" s="4" t="n">
        <v>40</v>
      </c>
      <c r="E31" s="4" t="n">
        <v>20</v>
      </c>
      <c r="F31" s="4" t="n">
        <v>12</v>
      </c>
      <c r="G31" s="4" t="n">
        <v>48</v>
      </c>
      <c r="H31" s="4" t="n">
        <v>15</v>
      </c>
      <c r="I31" s="4" t="s">
        <v>129</v>
      </c>
      <c r="J31" s="4" t="n">
        <v>1799</v>
      </c>
      <c r="K31" s="4" t="n">
        <v>86352</v>
      </c>
    </row>
    <row r="32" customFormat="false" ht="15" hidden="false" customHeight="false" outlineLevel="0" collapsed="false">
      <c r="A32" s="6" t="s">
        <v>119</v>
      </c>
      <c r="B32" s="7"/>
      <c r="C32" s="7"/>
      <c r="D32" s="6" t="n">
        <f aca="false">SUM(D2:D31)</f>
        <v>3719</v>
      </c>
      <c r="E32" s="6" t="n">
        <f aca="false">SUM(E2:E31)</f>
        <v>1641</v>
      </c>
      <c r="F32" s="6" t="n">
        <f aca="false">SUM(F2:F31)</f>
        <v>1340</v>
      </c>
      <c r="G32" s="6" t="n">
        <f aca="false">SUM(G2:G31)</f>
        <v>4020</v>
      </c>
      <c r="H32" s="6"/>
      <c r="I32" s="6"/>
      <c r="J32" s="6" t="n">
        <f aca="false">SUM(J2:J31)</f>
        <v>153137</v>
      </c>
      <c r="K32" s="6" t="n">
        <f aca="false">SUM(K2:K31)</f>
        <v>3124630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11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8" min="8" style="0" width="16"/>
    <col collapsed="false" customWidth="true" hidden="false" outlineLevel="0" max="9" min="9" style="0" width="15"/>
    <col collapsed="false" customWidth="true" hidden="false" outlineLevel="0" max="10" min="10" style="0" width="17"/>
    <col collapsed="false" customWidth="true" hidden="false" outlineLevel="0" max="11" min="11" style="0" width="14"/>
    <col collapsed="false" customWidth="true" hidden="false" outlineLevel="0" max="12" min="12" style="0" width="16"/>
  </cols>
  <sheetData>
    <row r="1" customFormat="false" ht="31.5" hidden="false" customHeight="true" outlineLevel="0" collapsed="false">
      <c r="A1" s="9" t="s">
        <v>159</v>
      </c>
      <c r="B1" s="9" t="s">
        <v>160</v>
      </c>
      <c r="C1" s="9" t="s">
        <v>161</v>
      </c>
      <c r="D1" s="9" t="s">
        <v>162</v>
      </c>
      <c r="E1" s="9" t="s">
        <v>163</v>
      </c>
      <c r="F1" s="9" t="s">
        <v>164</v>
      </c>
      <c r="G1" s="9" t="s">
        <v>165</v>
      </c>
      <c r="H1" s="9" t="s">
        <v>166</v>
      </c>
      <c r="I1" s="9" t="s">
        <v>167</v>
      </c>
      <c r="J1" s="9" t="s">
        <v>168</v>
      </c>
      <c r="K1" s="9" t="s">
        <v>11</v>
      </c>
      <c r="L1" s="9" t="s">
        <v>169</v>
      </c>
    </row>
    <row r="2" customFormat="false" ht="15" hidden="false" customHeight="false" outlineLevel="0" collapsed="false">
      <c r="A2" s="2" t="s">
        <v>170</v>
      </c>
      <c r="B2" s="2" t="s">
        <v>171</v>
      </c>
      <c r="C2" s="2" t="s">
        <v>172</v>
      </c>
      <c r="D2" s="2" t="s">
        <v>173</v>
      </c>
      <c r="E2" s="3" t="s">
        <v>17</v>
      </c>
      <c r="F2" s="3" t="s">
        <v>174</v>
      </c>
      <c r="G2" s="2" t="n">
        <v>6</v>
      </c>
      <c r="H2" s="2" t="n">
        <v>3</v>
      </c>
      <c r="I2" s="2" t="n">
        <v>6747</v>
      </c>
      <c r="J2" s="2" t="n">
        <v>45</v>
      </c>
      <c r="K2" s="2" t="s">
        <v>36</v>
      </c>
      <c r="L2" s="2" t="n">
        <v>5</v>
      </c>
    </row>
    <row r="3" customFormat="false" ht="15" hidden="false" customHeight="false" outlineLevel="0" collapsed="false">
      <c r="A3" s="4" t="s">
        <v>175</v>
      </c>
      <c r="B3" s="4" t="s">
        <v>176</v>
      </c>
      <c r="C3" s="4" t="s">
        <v>177</v>
      </c>
      <c r="D3" s="4" t="s">
        <v>178</v>
      </c>
      <c r="E3" s="5" t="s">
        <v>24</v>
      </c>
      <c r="F3" s="5" t="s">
        <v>174</v>
      </c>
      <c r="G3" s="4" t="n">
        <v>4</v>
      </c>
      <c r="H3" s="4" t="n">
        <v>2</v>
      </c>
      <c r="I3" s="4" t="n">
        <v>7598</v>
      </c>
      <c r="J3" s="4" t="n">
        <v>30</v>
      </c>
      <c r="K3" s="4" t="s">
        <v>25</v>
      </c>
      <c r="L3" s="4" t="n">
        <v>4</v>
      </c>
    </row>
    <row r="4" customFormat="false" ht="15" hidden="false" customHeight="false" outlineLevel="0" collapsed="false">
      <c r="A4" s="2" t="s">
        <v>179</v>
      </c>
      <c r="B4" s="2" t="s">
        <v>180</v>
      </c>
      <c r="C4" s="2" t="s">
        <v>181</v>
      </c>
      <c r="D4" s="2" t="s">
        <v>173</v>
      </c>
      <c r="E4" s="3" t="s">
        <v>30</v>
      </c>
      <c r="F4" s="3" t="s">
        <v>182</v>
      </c>
      <c r="G4" s="2" t="n">
        <v>8</v>
      </c>
      <c r="H4" s="2" t="n">
        <v>1</v>
      </c>
      <c r="I4" s="2" t="n">
        <v>30359</v>
      </c>
      <c r="J4" s="2" t="n">
        <v>60</v>
      </c>
      <c r="K4" s="2" t="s">
        <v>18</v>
      </c>
      <c r="L4" s="2" t="n">
        <v>4</v>
      </c>
    </row>
    <row r="5" customFormat="false" ht="15" hidden="false" customHeight="false" outlineLevel="0" collapsed="false">
      <c r="A5" s="4" t="s">
        <v>183</v>
      </c>
      <c r="B5" s="4" t="s">
        <v>184</v>
      </c>
      <c r="C5" s="4" t="s">
        <v>185</v>
      </c>
      <c r="D5" s="4" t="s">
        <v>178</v>
      </c>
      <c r="E5" s="5" t="s">
        <v>17</v>
      </c>
      <c r="F5" s="5" t="s">
        <v>174</v>
      </c>
      <c r="G5" s="4" t="n">
        <v>10</v>
      </c>
      <c r="H5" s="4" t="n">
        <v>5</v>
      </c>
      <c r="I5" s="4" t="n">
        <v>4990</v>
      </c>
      <c r="J5" s="4" t="n">
        <v>25</v>
      </c>
      <c r="K5" s="4" t="s">
        <v>36</v>
      </c>
      <c r="L5" s="4" t="n">
        <v>5</v>
      </c>
    </row>
    <row r="6" customFormat="false" ht="15" hidden="false" customHeight="false" outlineLevel="0" collapsed="false">
      <c r="A6" s="2" t="s">
        <v>186</v>
      </c>
      <c r="B6" s="2" t="s">
        <v>187</v>
      </c>
      <c r="C6" s="2" t="s">
        <v>172</v>
      </c>
      <c r="D6" s="2" t="s">
        <v>173</v>
      </c>
      <c r="E6" s="3" t="s">
        <v>41</v>
      </c>
      <c r="F6" s="3" t="s">
        <v>174</v>
      </c>
      <c r="G6" s="2" t="n">
        <v>3</v>
      </c>
      <c r="H6" s="2" t="n">
        <v>2</v>
      </c>
      <c r="I6" s="2" t="n">
        <v>2272</v>
      </c>
      <c r="J6" s="2" t="n">
        <v>20</v>
      </c>
      <c r="K6" s="2" t="s">
        <v>25</v>
      </c>
      <c r="L6" s="2" t="n">
        <v>3</v>
      </c>
    </row>
    <row r="7" customFormat="false" ht="15" hidden="false" customHeight="false" outlineLevel="0" collapsed="false">
      <c r="A7" s="4" t="s">
        <v>188</v>
      </c>
      <c r="B7" s="4" t="s">
        <v>189</v>
      </c>
      <c r="C7" s="4" t="s">
        <v>190</v>
      </c>
      <c r="D7" s="4" t="s">
        <v>178</v>
      </c>
      <c r="E7" s="5" t="s">
        <v>24</v>
      </c>
      <c r="F7" s="5" t="s">
        <v>191</v>
      </c>
      <c r="G7" s="4" t="n">
        <v>2</v>
      </c>
      <c r="H7" s="4" t="n">
        <v>1</v>
      </c>
      <c r="I7" s="4" t="n">
        <v>4399</v>
      </c>
      <c r="J7" s="4" t="n">
        <v>15</v>
      </c>
      <c r="K7" s="4" t="s">
        <v>36</v>
      </c>
      <c r="L7" s="4" t="n">
        <v>4</v>
      </c>
    </row>
    <row r="8" customFormat="false" ht="15" hidden="false" customHeight="false" outlineLevel="0" collapsed="false">
      <c r="A8" s="2" t="s">
        <v>192</v>
      </c>
      <c r="B8" s="2" t="s">
        <v>193</v>
      </c>
      <c r="C8" s="2" t="s">
        <v>177</v>
      </c>
      <c r="D8" s="2" t="s">
        <v>173</v>
      </c>
      <c r="E8" s="3" t="s">
        <v>17</v>
      </c>
      <c r="F8" s="3" t="s">
        <v>174</v>
      </c>
      <c r="G8" s="2" t="n">
        <v>5</v>
      </c>
      <c r="H8" s="2" t="n">
        <v>2</v>
      </c>
      <c r="I8" s="2" t="n">
        <v>3798</v>
      </c>
      <c r="J8" s="2" t="n">
        <v>35</v>
      </c>
      <c r="K8" s="2" t="s">
        <v>18</v>
      </c>
      <c r="L8" s="2" t="n">
        <v>5</v>
      </c>
    </row>
    <row r="9" customFormat="false" ht="15" hidden="false" customHeight="false" outlineLevel="0" collapsed="false">
      <c r="A9" s="4" t="s">
        <v>194</v>
      </c>
      <c r="B9" s="4" t="s">
        <v>195</v>
      </c>
      <c r="C9" s="4" t="s">
        <v>172</v>
      </c>
      <c r="D9" s="4" t="s">
        <v>178</v>
      </c>
      <c r="E9" s="5" t="s">
        <v>30</v>
      </c>
      <c r="F9" s="5" t="s">
        <v>182</v>
      </c>
      <c r="G9" s="4" t="n">
        <v>7</v>
      </c>
      <c r="H9" s="4" t="n">
        <v>3</v>
      </c>
      <c r="I9" s="4" t="n">
        <v>4496</v>
      </c>
      <c r="J9" s="4" t="n">
        <v>50</v>
      </c>
      <c r="K9" s="4" t="s">
        <v>25</v>
      </c>
      <c r="L9" s="4" t="n">
        <v>3</v>
      </c>
    </row>
    <row r="10" customFormat="false" ht="15" hidden="false" customHeight="false" outlineLevel="0" collapsed="false">
      <c r="A10" s="2" t="s">
        <v>196</v>
      </c>
      <c r="B10" s="2" t="s">
        <v>197</v>
      </c>
      <c r="C10" s="2" t="s">
        <v>181</v>
      </c>
      <c r="D10" s="2" t="s">
        <v>173</v>
      </c>
      <c r="E10" s="3" t="s">
        <v>17</v>
      </c>
      <c r="F10" s="3" t="s">
        <v>174</v>
      </c>
      <c r="G10" s="2" t="n">
        <v>4</v>
      </c>
      <c r="H10" s="2" t="n">
        <v>2</v>
      </c>
      <c r="I10" s="2" t="n">
        <v>4272</v>
      </c>
      <c r="J10" s="2" t="n">
        <v>40</v>
      </c>
      <c r="K10" s="2" t="s">
        <v>18</v>
      </c>
      <c r="L10" s="2" t="n">
        <v>4</v>
      </c>
    </row>
    <row r="11" customFormat="false" ht="15" hidden="false" customHeight="false" outlineLevel="0" collapsed="false">
      <c r="A11" s="4" t="s">
        <v>198</v>
      </c>
      <c r="B11" s="4" t="s">
        <v>199</v>
      </c>
      <c r="C11" s="4" t="s">
        <v>185</v>
      </c>
      <c r="D11" s="4" t="s">
        <v>178</v>
      </c>
      <c r="E11" s="5" t="s">
        <v>41</v>
      </c>
      <c r="F11" s="5" t="s">
        <v>174</v>
      </c>
      <c r="G11" s="4" t="n">
        <v>9</v>
      </c>
      <c r="H11" s="4" t="n">
        <v>6</v>
      </c>
      <c r="I11" s="4" t="n">
        <v>1188</v>
      </c>
      <c r="J11" s="4" t="n">
        <v>20</v>
      </c>
      <c r="K11" s="4" t="s">
        <v>36</v>
      </c>
      <c r="L11" s="4" t="n">
        <v>5</v>
      </c>
    </row>
    <row r="12" customFormat="false" ht="15" hidden="false" customHeight="false" outlineLevel="0" collapsed="false">
      <c r="A12" s="2" t="s">
        <v>200</v>
      </c>
      <c r="B12" s="2" t="s">
        <v>201</v>
      </c>
      <c r="C12" s="2" t="s">
        <v>177</v>
      </c>
      <c r="D12" s="2" t="s">
        <v>173</v>
      </c>
      <c r="E12" s="3" t="s">
        <v>24</v>
      </c>
      <c r="F12" s="3" t="s">
        <v>174</v>
      </c>
      <c r="G12" s="2" t="n">
        <v>5</v>
      </c>
      <c r="H12" s="2" t="n">
        <v>2</v>
      </c>
      <c r="I12" s="2" t="n">
        <v>5150</v>
      </c>
      <c r="J12" s="2" t="n">
        <v>30</v>
      </c>
      <c r="K12" s="2" t="s">
        <v>18</v>
      </c>
      <c r="L12" s="2" t="n">
        <v>4</v>
      </c>
    </row>
    <row r="13" customFormat="false" ht="15" hidden="false" customHeight="false" outlineLevel="0" collapsed="false">
      <c r="A13" s="4" t="s">
        <v>202</v>
      </c>
      <c r="B13" s="4" t="s">
        <v>203</v>
      </c>
      <c r="C13" s="4" t="s">
        <v>172</v>
      </c>
      <c r="D13" s="4" t="s">
        <v>178</v>
      </c>
      <c r="E13" s="5" t="s">
        <v>17</v>
      </c>
      <c r="F13" s="5" t="s">
        <v>174</v>
      </c>
      <c r="G13" s="4" t="n">
        <v>15</v>
      </c>
      <c r="H13" s="4" t="n">
        <v>7</v>
      </c>
      <c r="I13" s="4" t="n">
        <v>480</v>
      </c>
      <c r="J13" s="4" t="n">
        <v>15</v>
      </c>
      <c r="K13" s="4" t="s">
        <v>25</v>
      </c>
      <c r="L13" s="4" t="n">
        <v>3</v>
      </c>
    </row>
    <row r="14" customFormat="false" ht="15" hidden="false" customHeight="false" outlineLevel="0" collapsed="false">
      <c r="A14" s="2" t="s">
        <v>204</v>
      </c>
      <c r="B14" s="2" t="s">
        <v>205</v>
      </c>
      <c r="C14" s="2" t="s">
        <v>185</v>
      </c>
      <c r="D14" s="2" t="s">
        <v>173</v>
      </c>
      <c r="E14" s="3" t="s">
        <v>17</v>
      </c>
      <c r="F14" s="3" t="s">
        <v>174</v>
      </c>
      <c r="G14" s="2" t="n">
        <v>3</v>
      </c>
      <c r="H14" s="2" t="n">
        <v>1</v>
      </c>
      <c r="I14" s="2" t="n">
        <v>50349</v>
      </c>
      <c r="J14" s="2" t="n">
        <v>55</v>
      </c>
      <c r="K14" s="2" t="s">
        <v>36</v>
      </c>
      <c r="L14" s="2" t="n">
        <v>5</v>
      </c>
    </row>
    <row r="15" customFormat="false" ht="15" hidden="false" customHeight="false" outlineLevel="0" collapsed="false">
      <c r="A15" s="4" t="s">
        <v>206</v>
      </c>
      <c r="B15" s="4" t="s">
        <v>207</v>
      </c>
      <c r="C15" s="4" t="s">
        <v>181</v>
      </c>
      <c r="D15" s="4" t="s">
        <v>178</v>
      </c>
      <c r="E15" s="5" t="s">
        <v>30</v>
      </c>
      <c r="F15" s="5" t="s">
        <v>182</v>
      </c>
      <c r="G15" s="4" t="n">
        <v>6</v>
      </c>
      <c r="H15" s="4" t="n">
        <v>3</v>
      </c>
      <c r="I15" s="4" t="n">
        <v>4676</v>
      </c>
      <c r="J15" s="4" t="n">
        <v>45</v>
      </c>
      <c r="K15" s="4" t="s">
        <v>18</v>
      </c>
      <c r="L15" s="4" t="n">
        <v>4</v>
      </c>
    </row>
    <row r="16" customFormat="false" ht="15" hidden="false" customHeight="false" outlineLevel="0" collapsed="false">
      <c r="A16" s="2" t="s">
        <v>208</v>
      </c>
      <c r="B16" s="2" t="s">
        <v>209</v>
      </c>
      <c r="C16" s="2" t="s">
        <v>172</v>
      </c>
      <c r="D16" s="2" t="s">
        <v>173</v>
      </c>
      <c r="E16" s="3" t="s">
        <v>24</v>
      </c>
      <c r="F16" s="3" t="s">
        <v>174</v>
      </c>
      <c r="G16" s="2" t="n">
        <v>8</v>
      </c>
      <c r="H16" s="2" t="n">
        <v>4</v>
      </c>
      <c r="I16" s="2" t="n">
        <v>2394</v>
      </c>
      <c r="J16" s="2" t="n">
        <v>25</v>
      </c>
      <c r="K16" s="2" t="s">
        <v>25</v>
      </c>
      <c r="L16" s="2" t="n">
        <v>4</v>
      </c>
    </row>
    <row r="17" customFormat="false" ht="15" hidden="false" customHeight="false" outlineLevel="0" collapsed="false">
      <c r="A17" s="4" t="s">
        <v>210</v>
      </c>
      <c r="B17" s="4" t="s">
        <v>211</v>
      </c>
      <c r="C17" s="4" t="s">
        <v>177</v>
      </c>
      <c r="D17" s="4" t="s">
        <v>178</v>
      </c>
      <c r="E17" s="5" t="s">
        <v>17</v>
      </c>
      <c r="F17" s="5" t="s">
        <v>174</v>
      </c>
      <c r="G17" s="4" t="n">
        <v>4</v>
      </c>
      <c r="H17" s="4" t="n">
        <v>2</v>
      </c>
      <c r="I17" s="4" t="n">
        <v>2468</v>
      </c>
      <c r="J17" s="4" t="n">
        <v>30</v>
      </c>
      <c r="K17" s="4" t="s">
        <v>18</v>
      </c>
      <c r="L17" s="4" t="n">
        <v>5</v>
      </c>
    </row>
    <row r="18" customFormat="false" ht="15" hidden="false" customHeight="false" outlineLevel="0" collapsed="false">
      <c r="A18" s="2" t="s">
        <v>212</v>
      </c>
      <c r="B18" s="2" t="s">
        <v>213</v>
      </c>
      <c r="C18" s="2" t="s">
        <v>190</v>
      </c>
      <c r="D18" s="2" t="s">
        <v>173</v>
      </c>
      <c r="E18" s="3" t="s">
        <v>41</v>
      </c>
      <c r="F18" s="3" t="s">
        <v>174</v>
      </c>
      <c r="G18" s="2" t="n">
        <v>6</v>
      </c>
      <c r="H18" s="2" t="n">
        <v>4</v>
      </c>
      <c r="I18" s="2" t="n">
        <v>2696</v>
      </c>
      <c r="J18" s="2" t="n">
        <v>20</v>
      </c>
      <c r="K18" s="2" t="s">
        <v>36</v>
      </c>
      <c r="L18" s="2" t="n">
        <v>5</v>
      </c>
    </row>
    <row r="19" customFormat="false" ht="15" hidden="false" customHeight="false" outlineLevel="0" collapsed="false">
      <c r="A19" s="4" t="s">
        <v>214</v>
      </c>
      <c r="B19" s="4" t="s">
        <v>215</v>
      </c>
      <c r="C19" s="4" t="s">
        <v>172</v>
      </c>
      <c r="D19" s="4" t="s">
        <v>178</v>
      </c>
      <c r="E19" s="5" t="s">
        <v>30</v>
      </c>
      <c r="F19" s="5" t="s">
        <v>182</v>
      </c>
      <c r="G19" s="4" t="n">
        <v>10</v>
      </c>
      <c r="H19" s="4" t="n">
        <v>5</v>
      </c>
      <c r="I19" s="4" t="n">
        <v>2775</v>
      </c>
      <c r="J19" s="4" t="n">
        <v>40</v>
      </c>
      <c r="K19" s="4" t="s">
        <v>25</v>
      </c>
      <c r="L19" s="4" t="n">
        <v>3</v>
      </c>
    </row>
    <row r="20" customFormat="false" ht="15" hidden="false" customHeight="false" outlineLevel="0" collapsed="false">
      <c r="A20" s="2" t="s">
        <v>216</v>
      </c>
      <c r="B20" s="2" t="s">
        <v>217</v>
      </c>
      <c r="C20" s="2" t="s">
        <v>177</v>
      </c>
      <c r="D20" s="2" t="s">
        <v>173</v>
      </c>
      <c r="E20" s="3" t="s">
        <v>24</v>
      </c>
      <c r="F20" s="3" t="s">
        <v>174</v>
      </c>
      <c r="G20" s="2" t="n">
        <v>5</v>
      </c>
      <c r="H20" s="2" t="n">
        <v>2</v>
      </c>
      <c r="I20" s="2" t="n">
        <v>3798</v>
      </c>
      <c r="J20" s="2" t="n">
        <v>35</v>
      </c>
      <c r="K20" s="2" t="s">
        <v>18</v>
      </c>
      <c r="L20" s="2" t="n">
        <v>4</v>
      </c>
    </row>
    <row r="21" customFormat="false" ht="15" hidden="false" customHeight="false" outlineLevel="0" collapsed="false">
      <c r="A21" s="4" t="s">
        <v>218</v>
      </c>
      <c r="B21" s="4" t="s">
        <v>219</v>
      </c>
      <c r="C21" s="4" t="s">
        <v>181</v>
      </c>
      <c r="D21" s="4" t="s">
        <v>173</v>
      </c>
      <c r="E21" s="5" t="s">
        <v>17</v>
      </c>
      <c r="F21" s="5" t="s">
        <v>174</v>
      </c>
      <c r="G21" s="4" t="n">
        <v>7</v>
      </c>
      <c r="H21" s="4" t="n">
        <v>3</v>
      </c>
      <c r="I21" s="4" t="n">
        <v>4857</v>
      </c>
      <c r="J21" s="4" t="n">
        <v>50</v>
      </c>
      <c r="K21" s="4" t="s">
        <v>36</v>
      </c>
      <c r="L21" s="4" t="n">
        <v>5</v>
      </c>
    </row>
    <row r="22" customFormat="false" ht="15" hidden="false" customHeight="false" outlineLevel="0" collapsed="false">
      <c r="A22" s="2" t="s">
        <v>220</v>
      </c>
      <c r="B22" s="2" t="s">
        <v>221</v>
      </c>
      <c r="C22" s="2" t="s">
        <v>185</v>
      </c>
      <c r="D22" s="2" t="s">
        <v>178</v>
      </c>
      <c r="E22" s="3" t="s">
        <v>41</v>
      </c>
      <c r="F22" s="3" t="s">
        <v>191</v>
      </c>
      <c r="G22" s="2" t="n">
        <v>3</v>
      </c>
      <c r="H22" s="2" t="n">
        <v>2</v>
      </c>
      <c r="I22" s="2" t="n">
        <v>3796</v>
      </c>
      <c r="J22" s="2" t="n">
        <v>20</v>
      </c>
      <c r="K22" s="2" t="s">
        <v>18</v>
      </c>
      <c r="L22" s="2" t="n">
        <v>3</v>
      </c>
    </row>
    <row r="23" customFormat="false" ht="15" hidden="false" customHeight="false" outlineLevel="0" collapsed="false">
      <c r="A23" s="4" t="s">
        <v>222</v>
      </c>
      <c r="B23" s="4" t="s">
        <v>223</v>
      </c>
      <c r="C23" s="4" t="s">
        <v>172</v>
      </c>
      <c r="D23" s="4" t="s">
        <v>173</v>
      </c>
      <c r="E23" s="5" t="s">
        <v>17</v>
      </c>
      <c r="F23" s="5" t="s">
        <v>174</v>
      </c>
      <c r="G23" s="4" t="n">
        <v>12</v>
      </c>
      <c r="H23" s="4" t="n">
        <v>6</v>
      </c>
      <c r="I23" s="4" t="n">
        <v>1440</v>
      </c>
      <c r="J23" s="4" t="n">
        <v>30</v>
      </c>
      <c r="K23" s="4" t="s">
        <v>25</v>
      </c>
      <c r="L23" s="4" t="n">
        <v>4</v>
      </c>
    </row>
    <row r="24" customFormat="false" ht="15" hidden="false" customHeight="false" outlineLevel="0" collapsed="false">
      <c r="A24" s="2" t="s">
        <v>224</v>
      </c>
      <c r="B24" s="2" t="s">
        <v>225</v>
      </c>
      <c r="C24" s="2" t="s">
        <v>177</v>
      </c>
      <c r="D24" s="2" t="s">
        <v>173</v>
      </c>
      <c r="E24" s="3" t="s">
        <v>24</v>
      </c>
      <c r="F24" s="3" t="s">
        <v>174</v>
      </c>
      <c r="G24" s="2" t="n">
        <v>4</v>
      </c>
      <c r="H24" s="2" t="n">
        <v>1</v>
      </c>
      <c r="I24" s="2" t="n">
        <v>26969</v>
      </c>
      <c r="J24" s="2" t="n">
        <v>60</v>
      </c>
      <c r="K24" s="2" t="s">
        <v>36</v>
      </c>
      <c r="L24" s="2" t="n">
        <v>5</v>
      </c>
    </row>
    <row r="25" customFormat="false" ht="15" hidden="false" customHeight="false" outlineLevel="0" collapsed="false">
      <c r="A25" s="4" t="s">
        <v>226</v>
      </c>
      <c r="B25" s="4" t="s">
        <v>227</v>
      </c>
      <c r="C25" s="4" t="s">
        <v>181</v>
      </c>
      <c r="D25" s="4" t="s">
        <v>178</v>
      </c>
      <c r="E25" s="5" t="s">
        <v>30</v>
      </c>
      <c r="F25" s="5" t="s">
        <v>182</v>
      </c>
      <c r="G25" s="4" t="n">
        <v>7</v>
      </c>
      <c r="H25" s="4" t="n">
        <v>4</v>
      </c>
      <c r="I25" s="4" t="n">
        <v>1791</v>
      </c>
      <c r="J25" s="4" t="n">
        <v>45</v>
      </c>
      <c r="K25" s="4" t="s">
        <v>18</v>
      </c>
      <c r="L25" s="4" t="n">
        <v>4</v>
      </c>
    </row>
    <row r="26" customFormat="false" ht="15" hidden="false" customHeight="false" outlineLevel="0" collapsed="false">
      <c r="A26" s="2" t="s">
        <v>228</v>
      </c>
      <c r="B26" s="2" t="s">
        <v>229</v>
      </c>
      <c r="C26" s="2" t="s">
        <v>172</v>
      </c>
      <c r="D26" s="2" t="s">
        <v>173</v>
      </c>
      <c r="E26" s="3" t="s">
        <v>17</v>
      </c>
      <c r="F26" s="3" t="s">
        <v>174</v>
      </c>
      <c r="G26" s="2" t="n">
        <v>5</v>
      </c>
      <c r="H26" s="2" t="n">
        <v>2</v>
      </c>
      <c r="I26" s="2" t="n">
        <v>4317</v>
      </c>
      <c r="J26" s="2" t="n">
        <v>35</v>
      </c>
      <c r="K26" s="2" t="s">
        <v>25</v>
      </c>
      <c r="L26" s="2" t="n">
        <v>4</v>
      </c>
    </row>
    <row r="27" customFormat="false" ht="15" hidden="false" customHeight="false" outlineLevel="0" collapsed="false">
      <c r="A27" s="4" t="s">
        <v>230</v>
      </c>
      <c r="B27" s="4" t="s">
        <v>231</v>
      </c>
      <c r="C27" s="4" t="s">
        <v>185</v>
      </c>
      <c r="D27" s="4" t="s">
        <v>173</v>
      </c>
      <c r="E27" s="5" t="s">
        <v>24</v>
      </c>
      <c r="F27" s="5" t="s">
        <v>174</v>
      </c>
      <c r="G27" s="4" t="n">
        <v>6</v>
      </c>
      <c r="H27" s="4" t="n">
        <v>3</v>
      </c>
      <c r="I27" s="4" t="n">
        <v>2844</v>
      </c>
      <c r="J27" s="4" t="n">
        <v>25</v>
      </c>
      <c r="K27" s="4" t="s">
        <v>36</v>
      </c>
      <c r="L27" s="4" t="n">
        <v>5</v>
      </c>
    </row>
    <row r="28" customFormat="false" ht="15" hidden="false" customHeight="false" outlineLevel="0" collapsed="false">
      <c r="A28" s="2" t="s">
        <v>232</v>
      </c>
      <c r="B28" s="2" t="s">
        <v>233</v>
      </c>
      <c r="C28" s="2" t="s">
        <v>177</v>
      </c>
      <c r="D28" s="2" t="s">
        <v>178</v>
      </c>
      <c r="E28" s="3" t="s">
        <v>41</v>
      </c>
      <c r="F28" s="3" t="s">
        <v>174</v>
      </c>
      <c r="G28" s="2" t="n">
        <v>4</v>
      </c>
      <c r="H28" s="2" t="n">
        <v>2</v>
      </c>
      <c r="I28" s="2" t="n">
        <v>4046</v>
      </c>
      <c r="J28" s="2" t="n">
        <v>30</v>
      </c>
      <c r="K28" s="2" t="s">
        <v>18</v>
      </c>
      <c r="L28" s="2" t="n">
        <v>4</v>
      </c>
    </row>
    <row r="29" customFormat="false" ht="15" hidden="false" customHeight="false" outlineLevel="0" collapsed="false">
      <c r="A29" s="4" t="s">
        <v>234</v>
      </c>
      <c r="B29" s="4" t="s">
        <v>235</v>
      </c>
      <c r="C29" s="4" t="s">
        <v>172</v>
      </c>
      <c r="D29" s="4" t="s">
        <v>178</v>
      </c>
      <c r="E29" s="5" t="s">
        <v>30</v>
      </c>
      <c r="F29" s="5" t="s">
        <v>182</v>
      </c>
      <c r="G29" s="4" t="n">
        <v>9</v>
      </c>
      <c r="H29" s="4" t="n">
        <v>4</v>
      </c>
      <c r="I29" s="4" t="n">
        <v>2392</v>
      </c>
      <c r="J29" s="4" t="n">
        <v>40</v>
      </c>
      <c r="K29" s="4" t="s">
        <v>25</v>
      </c>
      <c r="L29" s="4" t="n">
        <v>3</v>
      </c>
    </row>
    <row r="30" customFormat="false" ht="15" hidden="false" customHeight="false" outlineLevel="0" collapsed="false">
      <c r="A30" s="2" t="s">
        <v>236</v>
      </c>
      <c r="B30" s="2" t="s">
        <v>237</v>
      </c>
      <c r="C30" s="2" t="s">
        <v>181</v>
      </c>
      <c r="D30" s="2" t="s">
        <v>173</v>
      </c>
      <c r="E30" s="3" t="s">
        <v>17</v>
      </c>
      <c r="F30" s="3" t="s">
        <v>174</v>
      </c>
      <c r="G30" s="2" t="n">
        <v>5</v>
      </c>
      <c r="H30" s="2" t="n">
        <v>2</v>
      </c>
      <c r="I30" s="2" t="n">
        <v>9498</v>
      </c>
      <c r="J30" s="2" t="n">
        <v>55</v>
      </c>
      <c r="K30" s="2" t="s">
        <v>36</v>
      </c>
      <c r="L30" s="2" t="n">
        <v>5</v>
      </c>
    </row>
    <row r="31" customFormat="false" ht="15" hidden="false" customHeight="false" outlineLevel="0" collapsed="false">
      <c r="A31" s="4" t="s">
        <v>238</v>
      </c>
      <c r="B31" s="4" t="s">
        <v>239</v>
      </c>
      <c r="C31" s="4" t="s">
        <v>177</v>
      </c>
      <c r="D31" s="4" t="s">
        <v>178</v>
      </c>
      <c r="E31" s="5" t="s">
        <v>24</v>
      </c>
      <c r="F31" s="5" t="s">
        <v>174</v>
      </c>
      <c r="G31" s="4" t="n">
        <v>10</v>
      </c>
      <c r="H31" s="4" t="n">
        <v>5</v>
      </c>
      <c r="I31" s="4" t="n">
        <v>300</v>
      </c>
      <c r="J31" s="4" t="n">
        <v>20</v>
      </c>
      <c r="K31" s="4" t="s">
        <v>18</v>
      </c>
      <c r="L31" s="4" t="n">
        <v>4</v>
      </c>
    </row>
    <row r="32" customFormat="false" ht="15" hidden="false" customHeight="false" outlineLevel="0" collapsed="false">
      <c r="A32" s="6" t="s">
        <v>119</v>
      </c>
      <c r="B32" s="6"/>
      <c r="C32" s="6"/>
      <c r="D32" s="6"/>
      <c r="E32" s="7"/>
      <c r="F32" s="7"/>
      <c r="G32" s="6" t="n">
        <f aca="false">SUM(G2:G31)</f>
        <v>192</v>
      </c>
      <c r="H32" s="6" t="n">
        <f aca="false">SUM(H2:H31)</f>
        <v>91</v>
      </c>
      <c r="I32" s="6" t="n">
        <f aca="false">SUM(I2:I31)</f>
        <v>207155</v>
      </c>
      <c r="J32" s="6" t="n">
        <f aca="false">SUM(J2:J31)</f>
        <v>1045</v>
      </c>
      <c r="K32" s="6"/>
      <c r="L32" s="6" t="n">
        <f aca="false">AVERAGE(L2:L31)</f>
        <v>4.16666666666667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6" min="2" style="0" width="15"/>
    <col collapsed="false" customWidth="true" hidden="false" outlineLevel="0" max="7" min="7" style="0" width="13"/>
    <col collapsed="false" customWidth="true" hidden="false" outlineLevel="0" max="8" min="8" style="0" width="20"/>
    <col collapsed="false" customWidth="true" hidden="false" outlineLevel="0" max="9" min="9" style="0" width="14"/>
    <col collapsed="false" customWidth="true" hidden="false" outlineLevel="0" max="10" min="10" style="0" width="15"/>
  </cols>
  <sheetData>
    <row r="1" customFormat="false" ht="31.5" hidden="false" customHeight="true" outlineLevel="0" collapsed="false">
      <c r="A1" s="10" t="s">
        <v>2</v>
      </c>
      <c r="B1" s="10" t="s">
        <v>3</v>
      </c>
      <c r="C1" s="10" t="s">
        <v>240</v>
      </c>
      <c r="D1" s="10" t="s">
        <v>241</v>
      </c>
      <c r="E1" s="10" t="s">
        <v>242</v>
      </c>
      <c r="F1" s="10" t="s">
        <v>6</v>
      </c>
      <c r="G1" s="10" t="s">
        <v>243</v>
      </c>
      <c r="H1" s="10" t="s">
        <v>244</v>
      </c>
      <c r="I1" s="10" t="s">
        <v>245</v>
      </c>
      <c r="J1" s="10" t="s">
        <v>246</v>
      </c>
    </row>
    <row r="2" customFormat="false" ht="15" hidden="false" customHeight="false" outlineLevel="0" collapsed="false">
      <c r="A2" s="3" t="s">
        <v>14</v>
      </c>
      <c r="B2" s="3" t="s">
        <v>15</v>
      </c>
      <c r="C2" s="2" t="n">
        <v>7497</v>
      </c>
      <c r="D2" s="2" t="n">
        <v>5196</v>
      </c>
      <c r="E2" s="2" t="n">
        <v>4797</v>
      </c>
      <c r="F2" s="2" t="n">
        <f aca="false">C2+D2+E2</f>
        <v>17490</v>
      </c>
      <c r="G2" s="2" t="s">
        <v>247</v>
      </c>
      <c r="H2" s="2" t="n">
        <f aca="false">F2/3</f>
        <v>5830</v>
      </c>
      <c r="I2" s="2" t="s">
        <v>248</v>
      </c>
      <c r="J2" s="2" t="n">
        <v>2</v>
      </c>
    </row>
    <row r="3" customFormat="false" ht="15" hidden="false" customHeight="false" outlineLevel="0" collapsed="false">
      <c r="A3" s="5" t="s">
        <v>21</v>
      </c>
      <c r="B3" s="5" t="s">
        <v>22</v>
      </c>
      <c r="C3" s="4" t="n">
        <v>7998</v>
      </c>
      <c r="D3" s="4" t="n">
        <v>3996</v>
      </c>
      <c r="E3" s="4" t="n">
        <v>3996</v>
      </c>
      <c r="F3" s="4" t="n">
        <f aca="false">C3+D3+E3</f>
        <v>15990</v>
      </c>
      <c r="G3" s="4" t="s">
        <v>247</v>
      </c>
      <c r="H3" s="4" t="n">
        <f aca="false">F3/3</f>
        <v>5330</v>
      </c>
      <c r="I3" s="4" t="s">
        <v>249</v>
      </c>
      <c r="J3" s="4" t="n">
        <v>1</v>
      </c>
    </row>
    <row r="4" customFormat="false" ht="15" hidden="false" customHeight="false" outlineLevel="0" collapsed="false">
      <c r="A4" s="3" t="s">
        <v>28</v>
      </c>
      <c r="B4" s="3" t="s">
        <v>29</v>
      </c>
      <c r="C4" s="2" t="n">
        <v>32999</v>
      </c>
      <c r="D4" s="2" t="n">
        <v>28999</v>
      </c>
      <c r="E4" s="2" t="n">
        <v>32999</v>
      </c>
      <c r="F4" s="2" t="n">
        <f aca="false">C4+D4+E4</f>
        <v>94997</v>
      </c>
      <c r="G4" s="2" t="s">
        <v>247</v>
      </c>
      <c r="H4" s="2" t="n">
        <f aca="false">F4/3</f>
        <v>31665.6666666667</v>
      </c>
      <c r="I4" s="2" t="s">
        <v>249</v>
      </c>
      <c r="J4" s="2" t="n">
        <v>3</v>
      </c>
    </row>
    <row r="5" customFormat="false" ht="15" hidden="false" customHeight="false" outlineLevel="0" collapsed="false">
      <c r="A5" s="5" t="s">
        <v>33</v>
      </c>
      <c r="B5" s="5" t="s">
        <v>34</v>
      </c>
      <c r="C5" s="4" t="n">
        <v>4990</v>
      </c>
      <c r="D5" s="4" t="n">
        <v>2394</v>
      </c>
      <c r="E5" s="4" t="n">
        <v>2394</v>
      </c>
      <c r="F5" s="4" t="n">
        <f aca="false">C5+D5+E5</f>
        <v>9778</v>
      </c>
      <c r="G5" s="4" t="s">
        <v>247</v>
      </c>
      <c r="H5" s="4" t="n">
        <f aca="false">F5/3</f>
        <v>3259.33333333333</v>
      </c>
      <c r="I5" s="4" t="s">
        <v>250</v>
      </c>
      <c r="J5" s="4" t="n">
        <v>0</v>
      </c>
    </row>
    <row r="6" customFormat="false" ht="15" hidden="false" customHeight="false" outlineLevel="0" collapsed="false">
      <c r="A6" s="3" t="s">
        <v>39</v>
      </c>
      <c r="B6" s="3" t="s">
        <v>40</v>
      </c>
      <c r="C6" s="2" t="n">
        <v>2392</v>
      </c>
      <c r="D6" s="2" t="n">
        <v>2392</v>
      </c>
      <c r="E6" s="2" t="n">
        <v>1791</v>
      </c>
      <c r="F6" s="2" t="n">
        <f aca="false">C6+D6+E6</f>
        <v>6575</v>
      </c>
      <c r="G6" s="2" t="s">
        <v>247</v>
      </c>
      <c r="H6" s="2" t="n">
        <f aca="false">F6/3</f>
        <v>2191.66666666667</v>
      </c>
      <c r="I6" s="2" t="s">
        <v>250</v>
      </c>
      <c r="J6" s="2" t="n">
        <v>1</v>
      </c>
    </row>
    <row r="7" customFormat="false" ht="15" hidden="false" customHeight="false" outlineLevel="0" collapsed="false">
      <c r="A7" s="5" t="s">
        <v>44</v>
      </c>
      <c r="B7" s="5" t="s">
        <v>45</v>
      </c>
      <c r="C7" s="4" t="n">
        <v>4999</v>
      </c>
      <c r="D7" s="4" t="n">
        <v>2696</v>
      </c>
      <c r="E7" s="4" t="n">
        <v>4046</v>
      </c>
      <c r="F7" s="4" t="n">
        <f aca="false">C7+D7+E7</f>
        <v>11741</v>
      </c>
      <c r="G7" s="4" t="s">
        <v>251</v>
      </c>
      <c r="H7" s="4" t="n">
        <f aca="false">F7/3</f>
        <v>3913.66666666667</v>
      </c>
      <c r="I7" s="4" t="s">
        <v>248</v>
      </c>
      <c r="J7" s="4" t="n">
        <v>2</v>
      </c>
    </row>
    <row r="8" customFormat="false" ht="15" hidden="false" customHeight="false" outlineLevel="0" collapsed="false">
      <c r="A8" s="3" t="s">
        <v>48</v>
      </c>
      <c r="B8" s="3" t="s">
        <v>49</v>
      </c>
      <c r="C8" s="2" t="n">
        <v>3798</v>
      </c>
      <c r="D8" s="2" t="n">
        <v>2598</v>
      </c>
      <c r="E8" s="2" t="n">
        <v>2994</v>
      </c>
      <c r="F8" s="2" t="n">
        <f aca="false">C8+D8+E8</f>
        <v>9390</v>
      </c>
      <c r="G8" s="2" t="s">
        <v>247</v>
      </c>
      <c r="H8" s="2" t="n">
        <f aca="false">F8/3</f>
        <v>3130</v>
      </c>
      <c r="I8" s="2" t="s">
        <v>249</v>
      </c>
      <c r="J8" s="2" t="n">
        <v>1</v>
      </c>
    </row>
    <row r="9" customFormat="false" ht="15" hidden="false" customHeight="false" outlineLevel="0" collapsed="false">
      <c r="A9" s="5" t="s">
        <v>52</v>
      </c>
      <c r="B9" s="5" t="s">
        <v>15</v>
      </c>
      <c r="C9" s="4" t="n">
        <v>4995</v>
      </c>
      <c r="D9" s="4" t="n">
        <v>5397</v>
      </c>
      <c r="E9" s="4" t="n">
        <v>4317</v>
      </c>
      <c r="F9" s="4" t="n">
        <f aca="false">C9+D9+E9</f>
        <v>14709</v>
      </c>
      <c r="G9" s="4" t="s">
        <v>252</v>
      </c>
      <c r="H9" s="4" t="n">
        <f aca="false">F9/3</f>
        <v>4903</v>
      </c>
      <c r="I9" s="4" t="s">
        <v>249</v>
      </c>
      <c r="J9" s="4" t="n">
        <v>2</v>
      </c>
    </row>
    <row r="10" customFormat="false" ht="15" hidden="false" customHeight="false" outlineLevel="0" collapsed="false">
      <c r="A10" s="3" t="s">
        <v>55</v>
      </c>
      <c r="B10" s="3" t="s">
        <v>29</v>
      </c>
      <c r="C10" s="2" t="n">
        <v>4497</v>
      </c>
      <c r="D10" s="2" t="n">
        <v>3998</v>
      </c>
      <c r="E10" s="2" t="n">
        <v>9498</v>
      </c>
      <c r="F10" s="2" t="n">
        <f aca="false">C10+D10+E10</f>
        <v>17993</v>
      </c>
      <c r="G10" s="2" t="s">
        <v>251</v>
      </c>
      <c r="H10" s="2" t="n">
        <f aca="false">F10/3</f>
        <v>5997.66666666667</v>
      </c>
      <c r="I10" s="2" t="s">
        <v>248</v>
      </c>
      <c r="J10" s="2" t="n">
        <v>2</v>
      </c>
    </row>
    <row r="11" customFormat="false" ht="15" hidden="false" customHeight="false" outlineLevel="0" collapsed="false">
      <c r="A11" s="5" t="s">
        <v>58</v>
      </c>
      <c r="B11" s="5" t="s">
        <v>40</v>
      </c>
      <c r="C11" s="4" t="n">
        <v>1188</v>
      </c>
      <c r="D11" s="4" t="n">
        <v>1188</v>
      </c>
      <c r="E11" s="4" t="n">
        <v>2392</v>
      </c>
      <c r="F11" s="4" t="n">
        <f aca="false">C11+D11+E11</f>
        <v>4768</v>
      </c>
      <c r="G11" s="4" t="s">
        <v>251</v>
      </c>
      <c r="H11" s="4" t="n">
        <f aca="false">F11/3</f>
        <v>1589.33333333333</v>
      </c>
      <c r="I11" s="4" t="s">
        <v>248</v>
      </c>
      <c r="J11" s="4" t="n">
        <v>0</v>
      </c>
    </row>
    <row r="12" customFormat="false" ht="15" hidden="false" customHeight="false" outlineLevel="0" collapsed="false">
      <c r="A12" s="3" t="s">
        <v>61</v>
      </c>
      <c r="B12" s="3" t="s">
        <v>22</v>
      </c>
      <c r="C12" s="2" t="n">
        <v>5598</v>
      </c>
      <c r="D12" s="2" t="n">
        <v>3796</v>
      </c>
      <c r="E12" s="2" t="n">
        <v>3796</v>
      </c>
      <c r="F12" s="2" t="n">
        <f aca="false">C12+D12+E12</f>
        <v>13190</v>
      </c>
      <c r="G12" s="2" t="s">
        <v>247</v>
      </c>
      <c r="H12" s="2" t="n">
        <f aca="false">F12/3</f>
        <v>4396.66666666667</v>
      </c>
      <c r="I12" s="2" t="s">
        <v>250</v>
      </c>
      <c r="J12" s="2" t="n">
        <v>2</v>
      </c>
    </row>
    <row r="13" customFormat="false" ht="15" hidden="false" customHeight="false" outlineLevel="0" collapsed="false">
      <c r="A13" s="5" t="s">
        <v>64</v>
      </c>
      <c r="B13" s="5" t="s">
        <v>34</v>
      </c>
      <c r="C13" s="4" t="n">
        <v>480</v>
      </c>
      <c r="D13" s="4" t="n">
        <v>1440</v>
      </c>
      <c r="E13" s="4" t="n">
        <v>300</v>
      </c>
      <c r="F13" s="4" t="n">
        <f aca="false">C13+D13+E13</f>
        <v>2220</v>
      </c>
      <c r="G13" s="4" t="s">
        <v>252</v>
      </c>
      <c r="H13" s="4" t="n">
        <f aca="false">F13/3</f>
        <v>740</v>
      </c>
      <c r="I13" s="4" t="s">
        <v>249</v>
      </c>
      <c r="J13" s="4" t="n">
        <v>0</v>
      </c>
    </row>
    <row r="14" customFormat="false" ht="15" hidden="false" customHeight="false" outlineLevel="0" collapsed="false">
      <c r="A14" s="3" t="s">
        <v>67</v>
      </c>
      <c r="B14" s="3" t="s">
        <v>29</v>
      </c>
      <c r="C14" s="2" t="n">
        <v>52999</v>
      </c>
      <c r="D14" s="2" t="n">
        <v>50349</v>
      </c>
      <c r="E14" s="2" t="n">
        <v>26969</v>
      </c>
      <c r="F14" s="2" t="n">
        <f aca="false">C14+D14+E14</f>
        <v>130317</v>
      </c>
      <c r="G14" s="2" t="s">
        <v>247</v>
      </c>
      <c r="H14" s="2" t="n">
        <f aca="false">F14/3</f>
        <v>43439</v>
      </c>
      <c r="I14" s="2" t="s">
        <v>250</v>
      </c>
      <c r="J14" s="2" t="n">
        <v>4</v>
      </c>
    </row>
    <row r="15" customFormat="false" ht="15" hidden="false" customHeight="false" outlineLevel="0" collapsed="false">
      <c r="A15" s="5" t="s">
        <v>70</v>
      </c>
      <c r="B15" s="5" t="s">
        <v>15</v>
      </c>
      <c r="C15" s="4" t="n">
        <v>5196</v>
      </c>
      <c r="D15" s="4" t="n">
        <v>4676</v>
      </c>
      <c r="E15" s="4" t="n">
        <v>4317</v>
      </c>
      <c r="F15" s="4" t="n">
        <f aca="false">C15+D15+E15</f>
        <v>14189</v>
      </c>
      <c r="G15" s="4" t="s">
        <v>247</v>
      </c>
      <c r="H15" s="4" t="n">
        <f aca="false">F15/3</f>
        <v>4729.66666666667</v>
      </c>
      <c r="I15" s="4" t="s">
        <v>250</v>
      </c>
      <c r="J15" s="4" t="n">
        <v>1</v>
      </c>
    </row>
    <row r="16" customFormat="false" ht="15" hidden="false" customHeight="false" outlineLevel="0" collapsed="false">
      <c r="A16" s="3" t="s">
        <v>73</v>
      </c>
      <c r="B16" s="3" t="s">
        <v>34</v>
      </c>
      <c r="C16" s="2" t="n">
        <v>2394</v>
      </c>
      <c r="D16" s="2" t="n">
        <v>2394</v>
      </c>
      <c r="E16" s="2" t="n">
        <v>300</v>
      </c>
      <c r="F16" s="2" t="n">
        <f aca="false">C16+D16+E16</f>
        <v>5088</v>
      </c>
      <c r="G16" s="2" t="s">
        <v>247</v>
      </c>
      <c r="H16" s="2" t="n">
        <f aca="false">F16/3</f>
        <v>1696</v>
      </c>
      <c r="I16" s="2" t="s">
        <v>250</v>
      </c>
      <c r="J16" s="2" t="n">
        <v>0</v>
      </c>
    </row>
    <row r="17" customFormat="false" ht="15" hidden="false" customHeight="false" outlineLevel="0" collapsed="false">
      <c r="A17" s="5" t="s">
        <v>76</v>
      </c>
      <c r="B17" s="5" t="s">
        <v>49</v>
      </c>
      <c r="C17" s="4" t="n">
        <v>2598</v>
      </c>
      <c r="D17" s="4" t="n">
        <v>2468</v>
      </c>
      <c r="E17" s="4" t="n">
        <v>2844</v>
      </c>
      <c r="F17" s="4" t="n">
        <f aca="false">C17+D17+E17</f>
        <v>7910</v>
      </c>
      <c r="G17" s="4" t="s">
        <v>251</v>
      </c>
      <c r="H17" s="4" t="n">
        <f aca="false">F17/3</f>
        <v>2636.66666666667</v>
      </c>
      <c r="I17" s="4" t="s">
        <v>248</v>
      </c>
      <c r="J17" s="4" t="n">
        <v>1</v>
      </c>
    </row>
    <row r="18" customFormat="false" ht="15" hidden="false" customHeight="false" outlineLevel="0" collapsed="false">
      <c r="A18" s="3" t="s">
        <v>79</v>
      </c>
      <c r="B18" s="3" t="s">
        <v>45</v>
      </c>
      <c r="C18" s="2" t="n">
        <v>2995</v>
      </c>
      <c r="D18" s="2" t="n">
        <v>2696</v>
      </c>
      <c r="E18" s="2" t="n">
        <v>4046</v>
      </c>
      <c r="F18" s="2" t="n">
        <f aca="false">C18+D18+E18</f>
        <v>9737</v>
      </c>
      <c r="G18" s="2" t="s">
        <v>251</v>
      </c>
      <c r="H18" s="2" t="n">
        <f aca="false">F18/3</f>
        <v>3245.66666666667</v>
      </c>
      <c r="I18" s="2" t="s">
        <v>248</v>
      </c>
      <c r="J18" s="2" t="n">
        <v>1</v>
      </c>
    </row>
    <row r="19" customFormat="false" ht="15" hidden="false" customHeight="false" outlineLevel="0" collapsed="false">
      <c r="A19" s="5" t="s">
        <v>82</v>
      </c>
      <c r="B19" s="5" t="s">
        <v>34</v>
      </c>
      <c r="C19" s="4" t="n">
        <v>2775</v>
      </c>
      <c r="D19" s="4" t="n">
        <v>2775</v>
      </c>
      <c r="E19" s="4" t="n">
        <v>2775</v>
      </c>
      <c r="F19" s="4" t="n">
        <f aca="false">C19+D19+E19</f>
        <v>8325</v>
      </c>
      <c r="G19" s="4" t="s">
        <v>247</v>
      </c>
      <c r="H19" s="4" t="n">
        <f aca="false">F19/3</f>
        <v>2775</v>
      </c>
      <c r="I19" s="4" t="s">
        <v>249</v>
      </c>
      <c r="J19" s="4" t="n">
        <v>0</v>
      </c>
    </row>
    <row r="20" customFormat="false" ht="15" hidden="false" customHeight="false" outlineLevel="0" collapsed="false">
      <c r="A20" s="3" t="s">
        <v>85</v>
      </c>
      <c r="B20" s="3" t="s">
        <v>29</v>
      </c>
      <c r="C20" s="2" t="n">
        <v>4497</v>
      </c>
      <c r="D20" s="2" t="n">
        <v>3798</v>
      </c>
      <c r="E20" s="2" t="n">
        <v>9498</v>
      </c>
      <c r="F20" s="2" t="n">
        <f aca="false">C20+D20+E20</f>
        <v>17793</v>
      </c>
      <c r="G20" s="2" t="s">
        <v>251</v>
      </c>
      <c r="H20" s="2" t="n">
        <f aca="false">F20/3</f>
        <v>5931</v>
      </c>
      <c r="I20" s="2" t="s">
        <v>248</v>
      </c>
      <c r="J20" s="2" t="n">
        <v>2</v>
      </c>
    </row>
    <row r="21" customFormat="false" ht="15" hidden="false" customHeight="false" outlineLevel="0" collapsed="false">
      <c r="A21" s="5" t="s">
        <v>94</v>
      </c>
      <c r="B21" s="5" t="s">
        <v>34</v>
      </c>
      <c r="C21" s="4" t="n">
        <v>480</v>
      </c>
      <c r="D21" s="4" t="n">
        <v>1440</v>
      </c>
      <c r="E21" s="4" t="n">
        <v>300</v>
      </c>
      <c r="F21" s="4" t="n">
        <f aca="false">C21+D21+E21</f>
        <v>2220</v>
      </c>
      <c r="G21" s="4" t="s">
        <v>252</v>
      </c>
      <c r="H21" s="4" t="n">
        <f aca="false">F21/3</f>
        <v>740</v>
      </c>
      <c r="I21" s="4" t="s">
        <v>249</v>
      </c>
      <c r="J21" s="4" t="n">
        <v>0</v>
      </c>
    </row>
    <row r="22" customFormat="false" ht="15" hidden="false" customHeight="false" outlineLevel="0" collapsed="false">
      <c r="A22" s="3" t="s">
        <v>97</v>
      </c>
      <c r="B22" s="3" t="s">
        <v>29</v>
      </c>
      <c r="C22" s="2" t="n">
        <v>28999</v>
      </c>
      <c r="D22" s="2" t="n">
        <v>26969</v>
      </c>
      <c r="E22" s="2" t="n">
        <v>26969</v>
      </c>
      <c r="F22" s="2" t="n">
        <f aca="false">C22+D22+E22</f>
        <v>82937</v>
      </c>
      <c r="G22" s="2" t="s">
        <v>247</v>
      </c>
      <c r="H22" s="2" t="n">
        <f aca="false">F22/3</f>
        <v>27645.6666666667</v>
      </c>
      <c r="I22" s="2" t="s">
        <v>250</v>
      </c>
      <c r="J22" s="2" t="n">
        <v>3</v>
      </c>
    </row>
    <row r="23" customFormat="false" ht="15" hidden="false" customHeight="false" outlineLevel="0" collapsed="false">
      <c r="A23" s="5" t="s">
        <v>100</v>
      </c>
      <c r="B23" s="5" t="s">
        <v>40</v>
      </c>
      <c r="C23" s="4" t="n">
        <v>2392</v>
      </c>
      <c r="D23" s="4" t="n">
        <v>1791</v>
      </c>
      <c r="E23" s="4" t="n">
        <v>2392</v>
      </c>
      <c r="F23" s="4" t="n">
        <f aca="false">C23+D23+E23</f>
        <v>6575</v>
      </c>
      <c r="G23" s="4" t="s">
        <v>247</v>
      </c>
      <c r="H23" s="4" t="n">
        <f aca="false">F23/3</f>
        <v>2191.66666666667</v>
      </c>
      <c r="I23" s="4" t="s">
        <v>249</v>
      </c>
      <c r="J23" s="4" t="n">
        <v>0</v>
      </c>
    </row>
    <row r="24" customFormat="false" ht="15" hidden="false" customHeight="false" outlineLevel="0" collapsed="false">
      <c r="A24" s="3" t="s">
        <v>103</v>
      </c>
      <c r="B24" s="3" t="s">
        <v>15</v>
      </c>
      <c r="C24" s="2" t="n">
        <v>4995</v>
      </c>
      <c r="D24" s="2" t="n">
        <v>4857</v>
      </c>
      <c r="E24" s="2" t="n">
        <v>4317</v>
      </c>
      <c r="F24" s="2" t="n">
        <f aca="false">C24+D24+E24</f>
        <v>14169</v>
      </c>
      <c r="G24" s="2" t="s">
        <v>247</v>
      </c>
      <c r="H24" s="2" t="n">
        <f aca="false">F24/3</f>
        <v>4723</v>
      </c>
      <c r="I24" s="2" t="s">
        <v>250</v>
      </c>
      <c r="J24" s="2" t="n">
        <v>2</v>
      </c>
    </row>
    <row r="25" customFormat="false" ht="15" hidden="false" customHeight="false" outlineLevel="0" collapsed="false">
      <c r="A25" s="5" t="s">
        <v>106</v>
      </c>
      <c r="B25" s="5" t="s">
        <v>49</v>
      </c>
      <c r="C25" s="4" t="n">
        <v>3798</v>
      </c>
      <c r="D25" s="4" t="n">
        <v>2994</v>
      </c>
      <c r="E25" s="4" t="n">
        <v>2844</v>
      </c>
      <c r="F25" s="4" t="n">
        <f aca="false">C25+D25+E25</f>
        <v>9636</v>
      </c>
      <c r="G25" s="4" t="s">
        <v>247</v>
      </c>
      <c r="H25" s="4" t="n">
        <f aca="false">F25/3</f>
        <v>3212</v>
      </c>
      <c r="I25" s="4" t="s">
        <v>250</v>
      </c>
      <c r="J25" s="4" t="n">
        <v>1</v>
      </c>
    </row>
    <row r="26" customFormat="false" ht="15" hidden="false" customHeight="false" outlineLevel="0" collapsed="false">
      <c r="A26" s="3" t="s">
        <v>109</v>
      </c>
      <c r="B26" s="3" t="s">
        <v>45</v>
      </c>
      <c r="C26" s="2" t="n">
        <v>4999</v>
      </c>
      <c r="D26" s="2" t="n">
        <v>4046</v>
      </c>
      <c r="E26" s="2" t="n">
        <v>4046</v>
      </c>
      <c r="F26" s="2" t="n">
        <f aca="false">C26+D26+E26</f>
        <v>13091</v>
      </c>
      <c r="G26" s="2" t="s">
        <v>247</v>
      </c>
      <c r="H26" s="2" t="n">
        <f aca="false">F26/3</f>
        <v>4363.66666666667</v>
      </c>
      <c r="I26" s="2" t="s">
        <v>249</v>
      </c>
      <c r="J26" s="2" t="n">
        <v>2</v>
      </c>
    </row>
    <row r="27" customFormat="false" ht="15" hidden="false" customHeight="false" outlineLevel="0" collapsed="false">
      <c r="A27" s="5" t="s">
        <v>112</v>
      </c>
      <c r="B27" s="5" t="s">
        <v>40</v>
      </c>
      <c r="C27" s="4" t="n">
        <v>2392</v>
      </c>
      <c r="D27" s="4" t="n">
        <v>2392</v>
      </c>
      <c r="E27" s="4" t="n">
        <v>2392</v>
      </c>
      <c r="F27" s="4" t="n">
        <f aca="false">C27+D27+E27</f>
        <v>7176</v>
      </c>
      <c r="G27" s="4" t="s">
        <v>247</v>
      </c>
      <c r="H27" s="4" t="n">
        <f aca="false">F27/3</f>
        <v>2392</v>
      </c>
      <c r="I27" s="4" t="s">
        <v>249</v>
      </c>
      <c r="J27" s="4" t="n">
        <v>0</v>
      </c>
    </row>
    <row r="28" customFormat="false" ht="15" hidden="false" customHeight="false" outlineLevel="0" collapsed="false">
      <c r="A28" s="3" t="s">
        <v>115</v>
      </c>
      <c r="B28" s="3" t="s">
        <v>29</v>
      </c>
      <c r="C28" s="2" t="n">
        <v>4497</v>
      </c>
      <c r="D28" s="2" t="n">
        <v>3798</v>
      </c>
      <c r="E28" s="2" t="n">
        <v>9498</v>
      </c>
      <c r="F28" s="2" t="n">
        <f aca="false">C28+D28+E28</f>
        <v>17793</v>
      </c>
      <c r="G28" s="2" t="s">
        <v>251</v>
      </c>
      <c r="H28" s="2" t="n">
        <f aca="false">F28/3</f>
        <v>5931</v>
      </c>
      <c r="I28" s="2" t="s">
        <v>248</v>
      </c>
      <c r="J28" s="2" t="n">
        <v>2</v>
      </c>
    </row>
    <row r="29" customFormat="false" ht="15" hidden="false" customHeight="false" outlineLevel="0" collapsed="false">
      <c r="A29" s="5" t="s">
        <v>118</v>
      </c>
      <c r="B29" s="5" t="s">
        <v>34</v>
      </c>
      <c r="C29" s="4" t="n">
        <v>1188</v>
      </c>
      <c r="D29" s="4" t="n">
        <v>1440</v>
      </c>
      <c r="E29" s="4" t="n">
        <v>300</v>
      </c>
      <c r="F29" s="4" t="n">
        <f aca="false">C29+D29+E29</f>
        <v>2928</v>
      </c>
      <c r="G29" s="4" t="s">
        <v>252</v>
      </c>
      <c r="H29" s="4" t="n">
        <f aca="false">F29/3</f>
        <v>976</v>
      </c>
      <c r="I29" s="4" t="s">
        <v>250</v>
      </c>
      <c r="J29" s="4" t="n">
        <v>0</v>
      </c>
    </row>
    <row r="30" customFormat="false" ht="15" hidden="false" customHeight="false" outlineLevel="0" collapsed="false">
      <c r="A30" s="3" t="s">
        <v>91</v>
      </c>
      <c r="B30" s="3" t="s">
        <v>22</v>
      </c>
      <c r="C30" s="2" t="n">
        <v>5598</v>
      </c>
      <c r="D30" s="2" t="n">
        <v>3796</v>
      </c>
      <c r="E30" s="2" t="n">
        <v>3796</v>
      </c>
      <c r="F30" s="2" t="n">
        <f aca="false">C30+D30+E30</f>
        <v>13190</v>
      </c>
      <c r="G30" s="2" t="s">
        <v>247</v>
      </c>
      <c r="H30" s="2" t="n">
        <f aca="false">F30/3</f>
        <v>4396.66666666667</v>
      </c>
      <c r="I30" s="2" t="s">
        <v>250</v>
      </c>
      <c r="J30" s="2" t="n">
        <v>1</v>
      </c>
    </row>
    <row r="31" customFormat="false" ht="15" hidden="false" customHeight="false" outlineLevel="0" collapsed="false">
      <c r="A31" s="5" t="s">
        <v>88</v>
      </c>
      <c r="B31" s="5" t="s">
        <v>15</v>
      </c>
      <c r="C31" s="4" t="n">
        <v>5397</v>
      </c>
      <c r="D31" s="4" t="n">
        <v>4857</v>
      </c>
      <c r="E31" s="4" t="n">
        <v>4317</v>
      </c>
      <c r="F31" s="4" t="n">
        <f aca="false">C31+D31+E31</f>
        <v>14571</v>
      </c>
      <c r="G31" s="4" t="s">
        <v>247</v>
      </c>
      <c r="H31" s="4" t="n">
        <f aca="false">F31/3</f>
        <v>4857</v>
      </c>
      <c r="I31" s="4" t="s">
        <v>250</v>
      </c>
      <c r="J31" s="4" t="n">
        <v>1</v>
      </c>
    </row>
    <row r="32" customFormat="false" ht="15" hidden="false" customHeight="false" outlineLevel="0" collapsed="false">
      <c r="A32" s="7" t="s">
        <v>119</v>
      </c>
      <c r="B32" s="7"/>
      <c r="C32" s="6"/>
      <c r="D32" s="6"/>
      <c r="E32" s="6"/>
      <c r="F32" s="6"/>
      <c r="G32" s="6"/>
      <c r="H32" s="6"/>
      <c r="I32" s="6"/>
      <c r="J32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2026-05-30T13:34:52Z</dcterms:created>
  <dc:creator>openpyxl</dc:creator>
  <dc:description/>
  <dc:language>en-US</dc:language>
  <cp:lastModifiedBy/>
  <dcterms:modified xsi:type="dcterms:W3CDTF">2026-05-30T13:34:52Z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